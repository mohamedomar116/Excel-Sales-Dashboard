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uhammed Work\Claude Training\"/>
    </mc:Choice>
  </mc:AlternateContent>
  <xr:revisionPtr revIDLastSave="0" documentId="13_ncr:1_{9CB3E29D-F821-450E-8B13-048335733CA6}" xr6:coauthVersionLast="47" xr6:coauthVersionMax="47" xr10:uidLastSave="{00000000-0000-0000-0000-000000000000}"/>
  <bookViews>
    <workbookView xWindow="-120" yWindow="-120" windowWidth="24240" windowHeight="13140" tabRatio="500" activeTab="2" xr2:uid="{00000000-000D-0000-FFFF-FFFF00000000}"/>
  </bookViews>
  <sheets>
    <sheet name="Sales Data" sheetId="1" r:id="rId1"/>
    <sheet name="Calculations" sheetId="2" r:id="rId2"/>
    <sheet name="Dashboard" sheetId="3" r:id="rId3"/>
  </sheets>
  <definedNames>
    <definedName name="_xlnm._FilterDatabase" localSheetId="0" hidden="1">'Sales Data'!$A$1:$N$501</definedName>
    <definedName name="Slicer_Category">#N/A</definedName>
    <definedName name="Slicer_Quarter">#N/A</definedName>
    <definedName name="Slicer_Region">#N/A</definedName>
  </definedNames>
  <calcPr calcId="191029" iterateDelta="1E-4"/>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 i="2" l="1"/>
</calcChain>
</file>

<file path=xl/sharedStrings.xml><?xml version="1.0" encoding="utf-8"?>
<sst xmlns="http://schemas.openxmlformats.org/spreadsheetml/2006/main" count="3552" uniqueCount="562">
  <si>
    <t>Order ID</t>
  </si>
  <si>
    <t>Date</t>
  </si>
  <si>
    <t>Month</t>
  </si>
  <si>
    <t>Quarter</t>
  </si>
  <si>
    <t>Salesperson</t>
  </si>
  <si>
    <t>Region</t>
  </si>
  <si>
    <t>Product</t>
  </si>
  <si>
    <t>Category</t>
  </si>
  <si>
    <t>Quantity</t>
  </si>
  <si>
    <t>Unit Price (EGP)</t>
  </si>
  <si>
    <t>Total Sales (EGP)</t>
  </si>
  <si>
    <t>Cost (EGP)</t>
  </si>
  <si>
    <t>Profit (EGP)</t>
  </si>
  <si>
    <t>Profit Margin %</t>
  </si>
  <si>
    <t>ORD-0024</t>
  </si>
  <si>
    <t>January</t>
  </si>
  <si>
    <t>Q1</t>
  </si>
  <si>
    <t>Khaled Mahmoud</t>
  </si>
  <si>
    <t>Cairo</t>
  </si>
  <si>
    <t>Smart Watch</t>
  </si>
  <si>
    <t>Wearables</t>
  </si>
  <si>
    <t>ORD-0100</t>
  </si>
  <si>
    <t>Nour Ibrahim</t>
  </si>
  <si>
    <t>Luxor</t>
  </si>
  <si>
    <t>Camera</t>
  </si>
  <si>
    <t>Photography</t>
  </si>
  <si>
    <t>ORD-0242</t>
  </si>
  <si>
    <t>Sara Ali</t>
  </si>
  <si>
    <t>Giza</t>
  </si>
  <si>
    <t>Headphones</t>
  </si>
  <si>
    <t>Accessories</t>
  </si>
  <si>
    <t>ORD-0436</t>
  </si>
  <si>
    <t>Ahmed Mohamed</t>
  </si>
  <si>
    <t>Mansoura</t>
  </si>
  <si>
    <t>Speaker</t>
  </si>
  <si>
    <t>Audio</t>
  </si>
  <si>
    <t>ORD-0347</t>
  </si>
  <si>
    <t>Dina Youssef</t>
  </si>
  <si>
    <t>Mobile</t>
  </si>
  <si>
    <t>Phones</t>
  </si>
  <si>
    <t>ORD-0483</t>
  </si>
  <si>
    <t>ORD-0490</t>
  </si>
  <si>
    <t>Alexandria</t>
  </si>
  <si>
    <t>ORD-0102</t>
  </si>
  <si>
    <t>ORD-0411</t>
  </si>
  <si>
    <t>Monitor</t>
  </si>
  <si>
    <t>Computers</t>
  </si>
  <si>
    <t>ORD-0301</t>
  </si>
  <si>
    <t>ORD-0380</t>
  </si>
  <si>
    <t>ORD-0258</t>
  </si>
  <si>
    <t>Laptop</t>
  </si>
  <si>
    <t>ORD-0381</t>
  </si>
  <si>
    <t>ORD-0065</t>
  </si>
  <si>
    <t>ORD-0308</t>
  </si>
  <si>
    <t>Omar Hassan</t>
  </si>
  <si>
    <t>ORD-0008</t>
  </si>
  <si>
    <t>ORD-0076</t>
  </si>
  <si>
    <t>ORD-0412</t>
  </si>
  <si>
    <t>ORD-0086</t>
  </si>
  <si>
    <t>Aswan</t>
  </si>
  <si>
    <t>ORD-0133</t>
  </si>
  <si>
    <t>ORD-0448</t>
  </si>
  <si>
    <t>ORD-0215</t>
  </si>
  <si>
    <t>Tablet</t>
  </si>
  <si>
    <t>ORD-0237</t>
  </si>
  <si>
    <t>ORD-0137</t>
  </si>
  <si>
    <t>ORD-0159</t>
  </si>
  <si>
    <t>ORD-0282</t>
  </si>
  <si>
    <t>ORD-0257</t>
  </si>
  <si>
    <t>ORD-0328</t>
  </si>
  <si>
    <t>ORD-0309</t>
  </si>
  <si>
    <t>ORD-0044</t>
  </si>
  <si>
    <t>ORD-0261</t>
  </si>
  <si>
    <t>February</t>
  </si>
  <si>
    <t>ORD-0390</t>
  </si>
  <si>
    <t>ORD-0216</t>
  </si>
  <si>
    <t>ORD-0136</t>
  </si>
  <si>
    <t>ORD-0226</t>
  </si>
  <si>
    <t>ORD-0256</t>
  </si>
  <si>
    <t>ORD-0049</t>
  </si>
  <si>
    <t>ORD-0116</t>
  </si>
  <si>
    <t>ORD-0147</t>
  </si>
  <si>
    <t>ORD-0220</t>
  </si>
  <si>
    <t>ORD-0337</t>
  </si>
  <si>
    <t>ORD-0175</t>
  </si>
  <si>
    <t>ORD-0251</t>
  </si>
  <si>
    <t>ORD-0453</t>
  </si>
  <si>
    <t>ORD-0096</t>
  </si>
  <si>
    <t>ORD-0238</t>
  </si>
  <si>
    <t>ORD-0266</t>
  </si>
  <si>
    <t>ORD-0444</t>
  </si>
  <si>
    <t>ORD-0280</t>
  </si>
  <si>
    <t>ORD-0324</t>
  </si>
  <si>
    <t>ORD-0179</t>
  </si>
  <si>
    <t>ORD-0209</t>
  </si>
  <si>
    <t>ORD-0259</t>
  </si>
  <si>
    <t>ORD-0281</t>
  </si>
  <si>
    <t>ORD-0459</t>
  </si>
  <si>
    <t>ORD-0007</t>
  </si>
  <si>
    <t>ORD-0462</t>
  </si>
  <si>
    <t>ORD-0038</t>
  </si>
  <si>
    <t>ORD-0265</t>
  </si>
  <si>
    <t>ORD-0441</t>
  </si>
  <si>
    <t>ORD-0141</t>
  </si>
  <si>
    <t>ORD-0376</t>
  </si>
  <si>
    <t>ORD-0134</t>
  </si>
  <si>
    <t>ORD-0460</t>
  </si>
  <si>
    <t>ORD-0058</t>
  </si>
  <si>
    <t>ORD-0249</t>
  </si>
  <si>
    <t>ORD-0340</t>
  </si>
  <si>
    <t>ORD-0217</t>
  </si>
  <si>
    <t>ORD-0289</t>
  </si>
  <si>
    <t>ORD-0112</t>
  </si>
  <si>
    <t>ORD-0498</t>
  </si>
  <si>
    <t>ORD-0073</t>
  </si>
  <si>
    <t>ORD-0351</t>
  </si>
  <si>
    <t>March</t>
  </si>
  <si>
    <t>ORD-0115</t>
  </si>
  <si>
    <t>ORD-0288</t>
  </si>
  <si>
    <t>ORD-0407</t>
  </si>
  <si>
    <t>ORD-0062</t>
  </si>
  <si>
    <t>ORD-0037</t>
  </si>
  <si>
    <t>ORD-0055</t>
  </si>
  <si>
    <t>ORD-0399</t>
  </si>
  <si>
    <t>ORD-0383</t>
  </si>
  <si>
    <t>ORD-0500</t>
  </si>
  <si>
    <t>ORD-0298</t>
  </si>
  <si>
    <t>ORD-0468</t>
  </si>
  <si>
    <t>ORD-0470</t>
  </si>
  <si>
    <t>ORD-0019</t>
  </si>
  <si>
    <t>ORD-0271</t>
  </si>
  <si>
    <t>ORD-0002</t>
  </si>
  <si>
    <t>ORD-0041</t>
  </si>
  <si>
    <t>ORD-0285</t>
  </si>
  <si>
    <t>ORD-0413</t>
  </si>
  <si>
    <t>ORD-0487</t>
  </si>
  <si>
    <t>ORD-0017</t>
  </si>
  <si>
    <t>ORD-0234</t>
  </si>
  <si>
    <t>ORD-0430</t>
  </si>
  <si>
    <t>ORD-0363</t>
  </si>
  <si>
    <t>ORD-0437</t>
  </si>
  <si>
    <t>ORD-0026</t>
  </si>
  <si>
    <t>ORD-0059</t>
  </si>
  <si>
    <t>ORD-0205</t>
  </si>
  <si>
    <t>ORD-0230</t>
  </si>
  <si>
    <t>ORD-0056</t>
  </si>
  <si>
    <t>ORD-0142</t>
  </si>
  <si>
    <t>ORD-0162</t>
  </si>
  <si>
    <t>ORD-0451</t>
  </si>
  <si>
    <t>ORD-0084</t>
  </si>
  <si>
    <t>ORD-0332</t>
  </si>
  <si>
    <t>ORD-0013</t>
  </si>
  <si>
    <t>ORD-0248</t>
  </si>
  <si>
    <t>ORD-0253</t>
  </si>
  <si>
    <t>ORD-0081</t>
  </si>
  <si>
    <t>ORD-0153</t>
  </si>
  <si>
    <t>ORD-0244</t>
  </si>
  <si>
    <t>ORD-0297</t>
  </si>
  <si>
    <t>ORD-0416</t>
  </si>
  <si>
    <t>ORD-0067</t>
  </si>
  <si>
    <t>ORD-0471</t>
  </si>
  <si>
    <t>ORD-0270</t>
  </si>
  <si>
    <t>April</t>
  </si>
  <si>
    <t>Q2</t>
  </si>
  <si>
    <t>ORD-0105</t>
  </si>
  <si>
    <t>ORD-0367</t>
  </si>
  <si>
    <t>ORD-0276</t>
  </si>
  <si>
    <t>ORD-0349</t>
  </si>
  <si>
    <t>ORD-0032</t>
  </si>
  <si>
    <t>ORD-0109</t>
  </si>
  <si>
    <t>ORD-0322</t>
  </si>
  <si>
    <t>ORD-0299</t>
  </si>
  <si>
    <t>ORD-0060</t>
  </si>
  <si>
    <t>ORD-0338</t>
  </si>
  <si>
    <t>ORD-0082</t>
  </si>
  <si>
    <t>ORD-0425</t>
  </si>
  <si>
    <t>ORD-0401</t>
  </si>
  <si>
    <t>ORD-0089</t>
  </si>
  <si>
    <t>ORD-0191</t>
  </si>
  <si>
    <t>ORD-0126</t>
  </si>
  <si>
    <t>ORD-0201</t>
  </si>
  <si>
    <t>ORD-0392</t>
  </si>
  <si>
    <t>ORD-0415</t>
  </si>
  <si>
    <t>ORD-0108</t>
  </si>
  <si>
    <t>ORD-0163</t>
  </si>
  <si>
    <t>ORD-0010</t>
  </si>
  <si>
    <t>ORD-0070</t>
  </si>
  <si>
    <t>ORD-0447</t>
  </si>
  <si>
    <t>ORD-0144</t>
  </si>
  <si>
    <t>ORD-0379</t>
  </si>
  <si>
    <t>ORD-0145</t>
  </si>
  <si>
    <t>ORD-0171</t>
  </si>
  <si>
    <t>ORD-0200</t>
  </si>
  <si>
    <t>ORD-0375</t>
  </si>
  <si>
    <t>ORD-0085</t>
  </si>
  <si>
    <t>ORD-0207</t>
  </si>
  <si>
    <t>ORD-0388</t>
  </si>
  <si>
    <t>ORD-0043</t>
  </si>
  <si>
    <t>May</t>
  </si>
  <si>
    <t>ORD-0028</t>
  </si>
  <si>
    <t>ORD-0374</t>
  </si>
  <si>
    <t>ORD-0124</t>
  </si>
  <si>
    <t>ORD-0419</t>
  </si>
  <si>
    <t>ORD-0088</t>
  </si>
  <si>
    <t>ORD-0426</t>
  </si>
  <si>
    <t>ORD-0120</t>
  </si>
  <si>
    <t>ORD-0341</t>
  </si>
  <si>
    <t>ORD-0467</t>
  </si>
  <si>
    <t>ORD-0068</t>
  </si>
  <si>
    <t>ORD-0138</t>
  </si>
  <si>
    <t>ORD-0129</t>
  </si>
  <si>
    <t>ORD-0213</t>
  </si>
  <si>
    <t>ORD-0330</t>
  </si>
  <si>
    <t>ORD-0107</t>
  </si>
  <si>
    <t>ORD-0111</t>
  </si>
  <si>
    <t>ORD-0286</t>
  </si>
  <si>
    <t>ORD-0023</t>
  </si>
  <si>
    <t>ORD-0233</t>
  </si>
  <si>
    <t>ORD-0302</t>
  </si>
  <si>
    <t>ORD-0455</t>
  </si>
  <si>
    <t>ORD-0221</t>
  </si>
  <si>
    <t>ORD-0466</t>
  </si>
  <si>
    <t>ORD-0011</t>
  </si>
  <si>
    <t>ORD-0071</t>
  </si>
  <si>
    <t>ORD-0315</t>
  </si>
  <si>
    <t>ORD-0206</t>
  </si>
  <si>
    <t>ORD-0473</t>
  </si>
  <si>
    <t>ORD-0277</t>
  </si>
  <si>
    <t>ORD-0346</t>
  </si>
  <si>
    <t>ORD-0427</t>
  </si>
  <si>
    <t>ORD-0275</t>
  </si>
  <si>
    <t>ORD-0382</t>
  </si>
  <si>
    <t>ORD-0045</t>
  </si>
  <si>
    <t>ORD-0378</t>
  </si>
  <si>
    <t>ORD-0403</t>
  </si>
  <si>
    <t>ORD-0229</t>
  </si>
  <si>
    <t>ORD-0368</t>
  </si>
  <si>
    <t>ORD-0371</t>
  </si>
  <si>
    <t>ORD-0243</t>
  </si>
  <si>
    <t>ORD-0009</t>
  </si>
  <si>
    <t>ORD-0181</t>
  </si>
  <si>
    <t>ORD-0080</t>
  </si>
  <si>
    <t>ORD-0385</t>
  </si>
  <si>
    <t>ORD-0457</t>
  </si>
  <si>
    <t>ORD-0486</t>
  </si>
  <si>
    <t>ORD-0140</t>
  </si>
  <si>
    <t>June</t>
  </si>
  <si>
    <t>ORD-0053</t>
  </si>
  <si>
    <t>ORD-0336</t>
  </si>
  <si>
    <t>ORD-0465</t>
  </si>
  <si>
    <t>ORD-0113</t>
  </si>
  <si>
    <t>ORD-0052</t>
  </si>
  <si>
    <t>ORD-0225</t>
  </si>
  <si>
    <t>ORD-0343</t>
  </si>
  <si>
    <t>ORD-0015</t>
  </si>
  <si>
    <t>ORD-0016</t>
  </si>
  <si>
    <t>ORD-0170</t>
  </si>
  <si>
    <t>ORD-0306</t>
  </si>
  <si>
    <t>ORD-0329</t>
  </si>
  <si>
    <t>ORD-0365</t>
  </si>
  <si>
    <t>ORD-0496</t>
  </si>
  <si>
    <t>ORD-0106</t>
  </si>
  <si>
    <t>ORD-0386</t>
  </si>
  <si>
    <t>ORD-0228</t>
  </si>
  <si>
    <t>ORD-0452</t>
  </si>
  <si>
    <t>ORD-0210</t>
  </si>
  <si>
    <t>ORD-0296</t>
  </si>
  <si>
    <t>ORD-0284</t>
  </si>
  <si>
    <t>ORD-0333</t>
  </si>
  <si>
    <t>ORD-0040</t>
  </si>
  <si>
    <t>ORD-0196</t>
  </si>
  <si>
    <t>ORD-0264</t>
  </si>
  <si>
    <t>ORD-0135</t>
  </si>
  <si>
    <t>ORD-0454</t>
  </si>
  <si>
    <t>ORD-0169</t>
  </si>
  <si>
    <t>ORD-0295</t>
  </si>
  <si>
    <t>ORD-0339</t>
  </si>
  <si>
    <t>ORD-0409</t>
  </si>
  <si>
    <t>ORD-0155</t>
  </si>
  <si>
    <t>ORD-0369</t>
  </si>
  <si>
    <t>ORD-0406</t>
  </si>
  <si>
    <t>ORD-0012</t>
  </si>
  <si>
    <t>ORD-0066</t>
  </si>
  <si>
    <t>ORD-0442</t>
  </si>
  <si>
    <t>ORD-0481</t>
  </si>
  <si>
    <t>ORD-0208</t>
  </si>
  <si>
    <t>July</t>
  </si>
  <si>
    <t>Q3</t>
  </si>
  <si>
    <t>ORD-0214</t>
  </si>
  <si>
    <t>ORD-0132</t>
  </si>
  <si>
    <t>ORD-0428</t>
  </si>
  <si>
    <t>ORD-0312</t>
  </si>
  <si>
    <t>ORD-0193</t>
  </si>
  <si>
    <t>ORD-0127</t>
  </si>
  <si>
    <t>ORD-0231</t>
  </si>
  <si>
    <t>ORD-0064</t>
  </si>
  <si>
    <t>ORD-0236</t>
  </si>
  <si>
    <t>ORD-0429</t>
  </si>
  <si>
    <t>ORD-0227</t>
  </si>
  <si>
    <t>ORD-0279</t>
  </si>
  <si>
    <t>ORD-0283</t>
  </si>
  <si>
    <t>ORD-0268</t>
  </si>
  <si>
    <t>ORD-0273</t>
  </si>
  <si>
    <t>ORD-0405</t>
  </si>
  <si>
    <t>ORD-0423</t>
  </si>
  <si>
    <t>ORD-0177</t>
  </si>
  <si>
    <t>ORD-0370</t>
  </si>
  <si>
    <t>ORD-0458</t>
  </si>
  <si>
    <t>ORD-0469</t>
  </si>
  <si>
    <t>ORD-0187</t>
  </si>
  <si>
    <t>ORD-0021</t>
  </si>
  <si>
    <t>ORD-0172</t>
  </si>
  <si>
    <t>ORD-0294</t>
  </si>
  <si>
    <t>ORD-0421</t>
  </si>
  <si>
    <t>ORD-0463</t>
  </si>
  <si>
    <t>ORD-0189</t>
  </si>
  <si>
    <t>ORD-0198</t>
  </si>
  <si>
    <t>ORD-0250</t>
  </si>
  <si>
    <t>ORD-0219</t>
  </si>
  <si>
    <t>ORD-0353</t>
  </si>
  <si>
    <t>ORD-0348</t>
  </si>
  <si>
    <t>ORD-0247</t>
  </si>
  <si>
    <t>ORD-0143</t>
  </si>
  <si>
    <t>ORD-0325</t>
  </si>
  <si>
    <t>ORD-0418</t>
  </si>
  <si>
    <t>ORD-0476</t>
  </si>
  <si>
    <t>ORD-0156</t>
  </si>
  <si>
    <t>ORD-0182</t>
  </si>
  <si>
    <t>ORD-0087</t>
  </si>
  <si>
    <t>ORD-0194</t>
  </si>
  <si>
    <t>ORD-0431</t>
  </si>
  <si>
    <t>August</t>
  </si>
  <si>
    <t>ORD-0051</t>
  </si>
  <si>
    <t>ORD-0342</t>
  </si>
  <si>
    <t>ORD-0410</t>
  </si>
  <si>
    <t>ORD-0479</t>
  </si>
  <si>
    <t>ORD-0003</t>
  </si>
  <si>
    <t>ORD-0006</t>
  </si>
  <si>
    <t>ORD-0146</t>
  </si>
  <si>
    <t>ORD-0305</t>
  </si>
  <si>
    <t>ORD-0063</t>
  </si>
  <si>
    <t>ORD-0240</t>
  </si>
  <si>
    <t>ORD-0117</t>
  </si>
  <si>
    <t>ORD-0456</t>
  </si>
  <si>
    <t>ORD-0118</t>
  </si>
  <si>
    <t>ORD-0446</t>
  </si>
  <si>
    <t>ORD-0150</t>
  </si>
  <si>
    <t>ORD-0161</t>
  </si>
  <si>
    <t>ORD-0274</t>
  </si>
  <si>
    <t>ORD-0311</t>
  </si>
  <si>
    <t>ORD-0303</t>
  </si>
  <si>
    <t>ORD-0042</t>
  </si>
  <si>
    <t>ORD-0160</t>
  </si>
  <si>
    <t>ORD-0239</t>
  </si>
  <si>
    <t>ORD-0395</t>
  </si>
  <si>
    <t>ORD-0005</t>
  </si>
  <si>
    <t>ORD-0260</t>
  </si>
  <si>
    <t>ORD-0326</t>
  </si>
  <si>
    <t>ORD-0350</t>
  </si>
  <si>
    <t>ORD-0422</t>
  </si>
  <si>
    <t>ORD-0033</t>
  </si>
  <si>
    <t>ORD-0489</t>
  </si>
  <si>
    <t>ORD-0157</t>
  </si>
  <si>
    <t>ORD-0204</t>
  </si>
  <si>
    <t>ORD-0222</t>
  </si>
  <si>
    <t>ORD-0224</t>
  </si>
  <si>
    <t>ORD-0174</t>
  </si>
  <si>
    <t>ORD-0345</t>
  </si>
  <si>
    <t>ORD-0384</t>
  </si>
  <si>
    <t>ORD-0246</t>
  </si>
  <si>
    <t>ORD-0443</t>
  </si>
  <si>
    <t>ORD-0184</t>
  </si>
  <si>
    <t>ORD-0475</t>
  </si>
  <si>
    <t>ORD-0492</t>
  </si>
  <si>
    <t>ORD-0091</t>
  </si>
  <si>
    <t>ORD-0083</t>
  </si>
  <si>
    <t>ORD-0098</t>
  </si>
  <si>
    <t>ORD-0039</t>
  </si>
  <si>
    <t>ORD-0103</t>
  </si>
  <si>
    <t>ORD-0069</t>
  </si>
  <si>
    <t>ORD-0165</t>
  </si>
  <si>
    <t>ORD-0364</t>
  </si>
  <si>
    <t>ORD-0354</t>
  </si>
  <si>
    <t>ORD-0093</t>
  </si>
  <si>
    <t>ORD-0445</t>
  </si>
  <si>
    <t>ORD-0048</t>
  </si>
  <si>
    <t>September</t>
  </si>
  <si>
    <t>ORD-0387</t>
  </si>
  <si>
    <t>ORD-0372</t>
  </si>
  <si>
    <t>ORD-0119</t>
  </si>
  <si>
    <t>ORD-0488</t>
  </si>
  <si>
    <t>ORD-0029</t>
  </si>
  <si>
    <t>ORD-0046</t>
  </si>
  <si>
    <t>ORD-0122</t>
  </si>
  <si>
    <t>ORD-0398</t>
  </si>
  <si>
    <t>ORD-0318</t>
  </si>
  <si>
    <t>ORD-0203</t>
  </si>
  <si>
    <t>ORD-0254</t>
  </si>
  <si>
    <t>ORD-0190</t>
  </si>
  <si>
    <t>ORD-0304</t>
  </si>
  <si>
    <t>ORD-0164</t>
  </si>
  <si>
    <t>ORD-0316</t>
  </si>
  <si>
    <t>ORD-0344</t>
  </si>
  <si>
    <t>ORD-0195</t>
  </si>
  <si>
    <t>ORD-0391</t>
  </si>
  <si>
    <t>ORD-0092</t>
  </si>
  <si>
    <t>ORD-0262</t>
  </si>
  <si>
    <t>ORD-0079</t>
  </si>
  <si>
    <t>ORD-0167</t>
  </si>
  <si>
    <t>ORD-0072</t>
  </si>
  <si>
    <t>ORD-0075</t>
  </si>
  <si>
    <t>ORD-0036</t>
  </si>
  <si>
    <t>ORD-0158</t>
  </si>
  <si>
    <t>ORD-0300</t>
  </si>
  <si>
    <t>ORD-0491</t>
  </si>
  <si>
    <t>ORD-0094</t>
  </si>
  <si>
    <t>ORD-0397</t>
  </si>
  <si>
    <t>ORD-0464</t>
  </si>
  <si>
    <t>ORD-0263</t>
  </si>
  <si>
    <t>ORD-0361</t>
  </si>
  <si>
    <t>ORD-0435</t>
  </si>
  <si>
    <t>ORD-0272</t>
  </si>
  <si>
    <t>ORD-0057</t>
  </si>
  <si>
    <t>ORD-0287</t>
  </si>
  <si>
    <t>ORD-0497</t>
  </si>
  <si>
    <t>ORD-0235</t>
  </si>
  <si>
    <t>ORD-0366</t>
  </si>
  <si>
    <t>ORD-0130</t>
  </si>
  <si>
    <t>October</t>
  </si>
  <si>
    <t>Q4</t>
  </si>
  <si>
    <t>ORD-0440</t>
  </si>
  <si>
    <t>ORD-0047</t>
  </si>
  <si>
    <t>ORD-0402</t>
  </si>
  <si>
    <t>ORD-0293</t>
  </si>
  <si>
    <t>ORD-0101</t>
  </si>
  <si>
    <t>ORD-0434</t>
  </si>
  <si>
    <t>ORD-0474</t>
  </si>
  <si>
    <t>ORD-0396</t>
  </si>
  <si>
    <t>ORD-0128</t>
  </si>
  <si>
    <t>ORD-0223</t>
  </si>
  <si>
    <t>ORD-0439</t>
  </si>
  <si>
    <t>ORD-0022</t>
  </si>
  <si>
    <t>ORD-0211</t>
  </si>
  <si>
    <t>ORD-0323</t>
  </si>
  <si>
    <t>ORD-0461</t>
  </si>
  <si>
    <t>ORD-0090</t>
  </si>
  <si>
    <t>ORD-0352</t>
  </si>
  <si>
    <t>ORD-0484</t>
  </si>
  <si>
    <t>ORD-0232</t>
  </si>
  <si>
    <t>ORD-0420</t>
  </si>
  <si>
    <t>ORD-0255</t>
  </si>
  <si>
    <t>ORD-0050</t>
  </si>
  <si>
    <t>ORD-0121</t>
  </si>
  <si>
    <t>ORD-0148</t>
  </si>
  <si>
    <t>ORD-0432</t>
  </si>
  <si>
    <t>ORD-0314</t>
  </si>
  <si>
    <t>ORD-0389</t>
  </si>
  <si>
    <t>ORD-0188</t>
  </si>
  <si>
    <t>ORD-0290</t>
  </si>
  <si>
    <t>ORD-0360</t>
  </si>
  <si>
    <t>ORD-0018</t>
  </si>
  <si>
    <t>ORD-0154</t>
  </si>
  <si>
    <t>ORD-0152</t>
  </si>
  <si>
    <t>ORD-0168</t>
  </si>
  <si>
    <t>ORD-0450</t>
  </si>
  <si>
    <t>ORD-0034</t>
  </si>
  <si>
    <t>ORD-0131</t>
  </si>
  <si>
    <t>ORD-0485</t>
  </si>
  <si>
    <t>ORD-0173</t>
  </si>
  <si>
    <t>ORD-0104</t>
  </si>
  <si>
    <t>ORD-0356</t>
  </si>
  <si>
    <t>ORD-0494</t>
  </si>
  <si>
    <t>ORD-0480</t>
  </si>
  <si>
    <t>ORD-0074</t>
  </si>
  <si>
    <t>November</t>
  </si>
  <si>
    <t>ORD-0123</t>
  </si>
  <si>
    <t>ORD-0212</t>
  </si>
  <si>
    <t>ORD-0027</t>
  </si>
  <si>
    <t>ORD-0166</t>
  </si>
  <si>
    <t>ORD-0414</t>
  </si>
  <si>
    <t>ORD-0478</t>
  </si>
  <si>
    <t>ORD-0004</t>
  </si>
  <si>
    <t>ORD-0307</t>
  </si>
  <si>
    <t>ORD-0151</t>
  </si>
  <si>
    <t>ORD-0278</t>
  </si>
  <si>
    <t>ORD-0031</t>
  </si>
  <si>
    <t>ORD-0393</t>
  </si>
  <si>
    <t>ORD-0355</t>
  </si>
  <si>
    <t>ORD-0291</t>
  </si>
  <si>
    <t>ORD-0139</t>
  </si>
  <si>
    <t>ORD-0178</t>
  </si>
  <si>
    <t>ORD-0438</t>
  </si>
  <si>
    <t>ORD-0183</t>
  </si>
  <si>
    <t>ORD-0054</t>
  </si>
  <si>
    <t>ORD-0078</t>
  </si>
  <si>
    <t>ORD-0025</t>
  </si>
  <si>
    <t>ORD-0331</t>
  </si>
  <si>
    <t>ORD-0020</t>
  </si>
  <si>
    <t>ORD-0192</t>
  </si>
  <si>
    <t>ORD-0035</t>
  </si>
  <si>
    <t>ORD-0061</t>
  </si>
  <si>
    <t>ORD-0472</t>
  </si>
  <si>
    <t>ORD-0001</t>
  </si>
  <si>
    <t>ORD-0186</t>
  </si>
  <si>
    <t>ORD-0327</t>
  </si>
  <si>
    <t>ORD-0335</t>
  </si>
  <si>
    <t>ORD-0334</t>
  </si>
  <si>
    <t>ORD-0433</t>
  </si>
  <si>
    <t>ORD-0125</t>
  </si>
  <si>
    <t>ORD-0252</t>
  </si>
  <si>
    <t>ORD-0404</t>
  </si>
  <si>
    <t>ORD-0202</t>
  </si>
  <si>
    <t>ORD-0377</t>
  </si>
  <si>
    <t>ORD-0449</t>
  </si>
  <si>
    <t>December</t>
  </si>
  <si>
    <t>ORD-0493</t>
  </si>
  <si>
    <t>ORD-0030</t>
  </si>
  <si>
    <t>ORD-0218</t>
  </si>
  <si>
    <t>ORD-0477</t>
  </si>
  <si>
    <t>ORD-0267</t>
  </si>
  <si>
    <t>ORD-0394</t>
  </si>
  <si>
    <t>ORD-0241</t>
  </si>
  <si>
    <t>ORD-0110</t>
  </si>
  <si>
    <t>ORD-0245</t>
  </si>
  <si>
    <t>ORD-0292</t>
  </si>
  <si>
    <t>ORD-0077</t>
  </si>
  <si>
    <t>ORD-0269</t>
  </si>
  <si>
    <t>ORD-0417</t>
  </si>
  <si>
    <t>ORD-0424</t>
  </si>
  <si>
    <t>ORD-0199</t>
  </si>
  <si>
    <t>ORD-0358</t>
  </si>
  <si>
    <t>ORD-0400</t>
  </si>
  <si>
    <t>ORD-0408</t>
  </si>
  <si>
    <t>ORD-0499</t>
  </si>
  <si>
    <t>ORD-0185</t>
  </si>
  <si>
    <t>ORD-0197</t>
  </si>
  <si>
    <t>ORD-0482</t>
  </si>
  <si>
    <t>ORD-0310</t>
  </si>
  <si>
    <t>ORD-0313</t>
  </si>
  <si>
    <t>ORD-0014</t>
  </si>
  <si>
    <t>ORD-0359</t>
  </si>
  <si>
    <t>ORD-0114</t>
  </si>
  <si>
    <t>ORD-0176</t>
  </si>
  <si>
    <t>ORD-0180</t>
  </si>
  <si>
    <t>ORD-0099</t>
  </si>
  <si>
    <t>ORD-0373</t>
  </si>
  <si>
    <t>ORD-0149</t>
  </si>
  <si>
    <t>ORD-0362</t>
  </si>
  <si>
    <t>ORD-0317</t>
  </si>
  <si>
    <t>ORD-0495</t>
  </si>
  <si>
    <t>ORD-0097</t>
  </si>
  <si>
    <t>ORD-0357</t>
  </si>
  <si>
    <t>ORD-0320</t>
  </si>
  <si>
    <t>ORD-0321</t>
  </si>
  <si>
    <t>ORD-0095</t>
  </si>
  <si>
    <t>ORD-0319</t>
  </si>
  <si>
    <t>Row Labels</t>
  </si>
  <si>
    <t>Grand Total</t>
  </si>
  <si>
    <t>Sum of Total Sales (EGP)</t>
  </si>
  <si>
    <t>Sum of Profit (EGP)</t>
  </si>
  <si>
    <t>Sales Performance Dashboard 2024</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</si>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</sst>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5" x14ac:knownFonts="1">
    <font>
      <sz val="11"/>
      <color theme="1"/>
      <name val="Calibri"/>
      <family val="2"/>
      <charset val="1"/>
    </font>
    <font>
      <b/>
      <sz val="11"/>
      <color rgb="FFFFFFFF"/>
      <name val="Arial"/>
      <charset val="1"/>
    </font>
    <font>
      <b/>
      <sz val="20"/>
      <color theme="0"/>
      <name val="Calibri"/>
      <family val="2"/>
    </font>
    <font>
      <b/>
      <sz val="11"/>
      <color theme="1"/>
      <name val="Calibri"/>
      <family val="2"/>
    </font>
    <font>
      <b/>
      <sz val="12"/>
      <color theme="1"/>
      <name val="Calibri"/>
      <family val="2"/>
    </font>
  </fonts>
  <fills count="7">
    <fill>
      <patternFill patternType="none"/>
    </fill>
    <fill>
      <patternFill patternType="gray125"/>
    </fill>
    <fill>
      <patternFill patternType="solid">
        <fgColor rgb="FF1F3864"/>
        <bgColor rgb="FF333333"/>
      </patternFill>
    </fill>
    <fill>
      <patternFill patternType="solid">
        <fgColor rgb="FFEEF2FF"/>
        <bgColor rgb="FFFFFFFF"/>
      </patternFill>
    </fill>
    <fill>
      <patternFill patternType="solid">
        <fgColor rgb="FFF2F2F2"/>
        <bgColor indexed="64"/>
      </patternFill>
    </fill>
    <fill>
      <patternFill patternType="solid">
        <fgColor theme="3"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0" fillId="3" borderId="0" xfId="0" applyFill="1"/>
    <xf numFmtId="164" fontId="0" fillId="3" borderId="0" xfId="0" applyNumberFormat="1" applyFill="1"/>
    <xf numFmtId="3" fontId="0" fillId="3" borderId="0" xfId="0" applyNumberFormat="1" applyFill="1"/>
    <xf numFmtId="165" fontId="0" fillId="3" borderId="0" xfId="0" applyNumberFormat="1" applyFill="1"/>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4" borderId="0" xfId="0" applyFill="1"/>
    <xf numFmtId="0" fontId="2" fillId="5" borderId="0" xfId="0" applyFont="1" applyFill="1" applyAlignment="1">
      <alignment horizontal="center"/>
    </xf>
    <xf numFmtId="0" fontId="0" fillId="6" borderId="1" xfId="0" applyFill="1" applyBorder="1" applyAlignment="1">
      <alignment horizontal="center" vertical="center"/>
    </xf>
    <xf numFmtId="10" fontId="3" fillId="0" borderId="0" xfId="0" applyNumberFormat="1" applyFont="1" applyAlignment="1">
      <alignment horizontal="center" vertical="center"/>
    </xf>
    <xf numFmtId="10" fontId="4"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EF2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[Sales_Dashboard_Data.xlsx]Calculations!PivotTable1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 Sales &amp; Profit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Calculations!$B$3</c:f>
              <c:strCache>
                <c:ptCount val="1"/>
                <c:pt idx="0">
                  <c:v>Sum of Total Sales (EGP)</c:v>
                </c:pt>
              </c:strCache>
            </c:strRef>
          </c:tx>
          <c:spPr>
            <a:ln w="28575" cap="rnd">
              <a:solidFill>
                <a:schemeClr val="accent1">
                  <a:shade val="76000"/>
                </a:schemeClr>
              </a:solidFill>
              <a:round/>
            </a:ln>
            <a:effectLst/>
          </c:spPr>
          <c:marker>
            <c:symbol val="none"/>
          </c:marker>
          <c:cat>
            <c:strRef>
              <c:f>Calculations!$A$4:$A$16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Calculations!$B$4:$B$16</c:f>
              <c:numCache>
                <c:formatCode>#,##0</c:formatCode>
                <c:ptCount val="12"/>
                <c:pt idx="0">
                  <c:v>1787700</c:v>
                </c:pt>
                <c:pt idx="1">
                  <c:v>2561700</c:v>
                </c:pt>
                <c:pt idx="2">
                  <c:v>2598700</c:v>
                </c:pt>
                <c:pt idx="3">
                  <c:v>1735000</c:v>
                </c:pt>
                <c:pt idx="4">
                  <c:v>2435900</c:v>
                </c:pt>
                <c:pt idx="5">
                  <c:v>1444400</c:v>
                </c:pt>
                <c:pt idx="6">
                  <c:v>2464400</c:v>
                </c:pt>
                <c:pt idx="7">
                  <c:v>3473400</c:v>
                </c:pt>
                <c:pt idx="8">
                  <c:v>2709700</c:v>
                </c:pt>
                <c:pt idx="9">
                  <c:v>2495400</c:v>
                </c:pt>
                <c:pt idx="10">
                  <c:v>2164900</c:v>
                </c:pt>
                <c:pt idx="11">
                  <c:v>2069300</c:v>
                </c:pt>
              </c:numCache>
            </c:numRef>
          </c:val>
          <c:smooth val="0"/>
          <c:extLst>
            <c:ext xmlns:c16="http://schemas.microsoft.com/office/drawing/2014/chart" uri="{C3380CC4-5D6E-409C-BE32-E72D297353CC}">
              <c16:uniqueId val="{00000000-AB57-450E-B722-65E33FBD0109}"/>
            </c:ext>
          </c:extLst>
        </c:ser>
        <c:dLbls>
          <c:showLegendKey val="0"/>
          <c:showVal val="0"/>
          <c:showCatName val="0"/>
          <c:showSerName val="0"/>
          <c:showPercent val="0"/>
          <c:showBubbleSize val="0"/>
        </c:dLbls>
        <c:marker val="1"/>
        <c:smooth val="0"/>
        <c:axId val="418955920"/>
        <c:axId val="418952680"/>
      </c:lineChart>
      <c:lineChart>
        <c:grouping val="stacked"/>
        <c:varyColors val="0"/>
        <c:ser>
          <c:idx val="1"/>
          <c:order val="1"/>
          <c:tx>
            <c:strRef>
              <c:f>Calculations!$C$3</c:f>
              <c:strCache>
                <c:ptCount val="1"/>
                <c:pt idx="0">
                  <c:v>Sum of Profit (EGP)</c:v>
                </c:pt>
              </c:strCache>
            </c:strRef>
          </c:tx>
          <c:spPr>
            <a:ln w="28575" cap="rnd">
              <a:solidFill>
                <a:schemeClr val="accent1">
                  <a:tint val="77000"/>
                </a:schemeClr>
              </a:solidFill>
              <a:round/>
            </a:ln>
            <a:effectLst/>
          </c:spPr>
          <c:marker>
            <c:symbol val="none"/>
          </c:marker>
          <c:cat>
            <c:strRef>
              <c:f>Calculations!$A$4:$A$16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Calculations!$C$4:$C$16</c:f>
              <c:numCache>
                <c:formatCode>#,##0</c:formatCode>
                <c:ptCount val="12"/>
                <c:pt idx="0">
                  <c:v>720665</c:v>
                </c:pt>
                <c:pt idx="1">
                  <c:v>1009558</c:v>
                </c:pt>
                <c:pt idx="2">
                  <c:v>1035953</c:v>
                </c:pt>
                <c:pt idx="3">
                  <c:v>709417</c:v>
                </c:pt>
                <c:pt idx="4">
                  <c:v>1006872</c:v>
                </c:pt>
                <c:pt idx="5">
                  <c:v>610450</c:v>
                </c:pt>
                <c:pt idx="6">
                  <c:v>993756</c:v>
                </c:pt>
                <c:pt idx="7">
                  <c:v>1363296</c:v>
                </c:pt>
                <c:pt idx="8">
                  <c:v>1086199</c:v>
                </c:pt>
                <c:pt idx="9">
                  <c:v>1006184</c:v>
                </c:pt>
                <c:pt idx="10">
                  <c:v>867676</c:v>
                </c:pt>
                <c:pt idx="11">
                  <c:v>844313</c:v>
                </c:pt>
              </c:numCache>
            </c:numRef>
          </c:val>
          <c:smooth val="0"/>
          <c:extLst>
            <c:ext xmlns:c16="http://schemas.microsoft.com/office/drawing/2014/chart" uri="{C3380CC4-5D6E-409C-BE32-E72D297353CC}">
              <c16:uniqueId val="{00000001-AB57-450E-B722-65E33FBD0109}"/>
            </c:ext>
          </c:extLst>
        </c:ser>
        <c:dLbls>
          <c:showLegendKey val="0"/>
          <c:showVal val="0"/>
          <c:showCatName val="0"/>
          <c:showSerName val="0"/>
          <c:showPercent val="0"/>
          <c:showBubbleSize val="0"/>
        </c:dLbls>
        <c:marker val="1"/>
        <c:smooth val="0"/>
        <c:axId val="642239240"/>
        <c:axId val="642232400"/>
      </c:lineChart>
      <c:catAx>
        <c:axId val="4189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952680"/>
        <c:crosses val="autoZero"/>
        <c:auto val="1"/>
        <c:lblAlgn val="ctr"/>
        <c:lblOffset val="100"/>
        <c:noMultiLvlLbl val="0"/>
      </c:catAx>
      <c:valAx>
        <c:axId val="418952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18955920"/>
        <c:crosses val="autoZero"/>
        <c:crossBetween val="between"/>
      </c:valAx>
      <c:valAx>
        <c:axId val="6422324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39240"/>
        <c:crosses val="max"/>
        <c:crossBetween val="between"/>
      </c:valAx>
      <c:catAx>
        <c:axId val="642239240"/>
        <c:scaling>
          <c:orientation val="minMax"/>
        </c:scaling>
        <c:delete val="1"/>
        <c:axPos val="b"/>
        <c:numFmt formatCode="General" sourceLinked="1"/>
        <c:majorTickMark val="out"/>
        <c:minorTickMark val="none"/>
        <c:tickLblPos val="nextTo"/>
        <c:crossAx val="642232400"/>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[Sales_Dashboard_Data.xlsx]Calculations!PivotTable2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Calculations!$E$22</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Calculations!$D$23:$D$31</c:f>
              <c:strCache>
                <c:ptCount val="8"/>
                <c:pt idx="0">
                  <c:v>Laptop</c:v>
                </c:pt>
                <c:pt idx="1">
                  <c:v>Camera</c:v>
                </c:pt>
                <c:pt idx="2">
                  <c:v>Mobile</c:v>
                </c:pt>
                <c:pt idx="3">
                  <c:v>Monitor</c:v>
                </c:pt>
                <c:pt idx="4">
                  <c:v>Tablet</c:v>
                </c:pt>
                <c:pt idx="5">
                  <c:v>Smart Watch</c:v>
                </c:pt>
                <c:pt idx="6">
                  <c:v>Speaker</c:v>
                </c:pt>
                <c:pt idx="7">
                  <c:v>Headphones</c:v>
                </c:pt>
              </c:strCache>
            </c:strRef>
          </c:cat>
          <c:val>
            <c:numRef>
              <c:f>Calculations!$E$23:$E$31</c:f>
              <c:numCache>
                <c:formatCode>#,##0</c:formatCode>
                <c:ptCount val="8"/>
                <c:pt idx="0">
                  <c:v>7966700</c:v>
                </c:pt>
                <c:pt idx="1">
                  <c:v>5402300</c:v>
                </c:pt>
                <c:pt idx="2">
                  <c:v>4500300</c:v>
                </c:pt>
                <c:pt idx="3">
                  <c:v>2939600</c:v>
                </c:pt>
                <c:pt idx="4">
                  <c:v>2902000</c:v>
                </c:pt>
                <c:pt idx="5">
                  <c:v>1601400</c:v>
                </c:pt>
                <c:pt idx="6">
                  <c:v>1594400</c:v>
                </c:pt>
                <c:pt idx="7">
                  <c:v>1033800</c:v>
                </c:pt>
              </c:numCache>
            </c:numRef>
          </c:val>
          <c:extLst>
            <c:ext xmlns:c16="http://schemas.microsoft.com/office/drawing/2014/chart" uri="{C3380CC4-5D6E-409C-BE32-E72D297353CC}">
              <c16:uniqueId val="{00000000-F019-4903-8B2B-38FC3E8DBA8B}"/>
            </c:ext>
          </c:extLst>
        </c:ser>
        <c:dLbls>
          <c:showLegendKey val="0"/>
          <c:showVal val="0"/>
          <c:showCatName val="0"/>
          <c:showSerName val="0"/>
          <c:showPercent val="0"/>
          <c:showBubbleSize val="0"/>
        </c:dLbls>
        <c:gapWidth val="100"/>
        <c:overlap val="-24"/>
        <c:axId val="645726576"/>
        <c:axId val="645723696"/>
      </c:barChart>
      <c:catAx>
        <c:axId val="645726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5723696"/>
        <c:crosses val="autoZero"/>
        <c:auto val="1"/>
        <c:lblAlgn val="ctr"/>
        <c:lblOffset val="100"/>
        <c:noMultiLvlLbl val="0"/>
      </c:catAx>
      <c:valAx>
        <c:axId val="64572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572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[Sales_Dashboard_Data.xlsx]Calculations!PivotTable4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Calculations!$B$22</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Calculations!$A$23:$A$29</c:f>
              <c:strCache>
                <c:ptCount val="6"/>
                <c:pt idx="0">
                  <c:v>Alexandria</c:v>
                </c:pt>
                <c:pt idx="1">
                  <c:v>Aswan</c:v>
                </c:pt>
                <c:pt idx="2">
                  <c:v>Cairo</c:v>
                </c:pt>
                <c:pt idx="3">
                  <c:v>Giza</c:v>
                </c:pt>
                <c:pt idx="4">
                  <c:v>Luxor</c:v>
                </c:pt>
                <c:pt idx="5">
                  <c:v>Mansoura</c:v>
                </c:pt>
              </c:strCache>
            </c:strRef>
          </c:cat>
          <c:val>
            <c:numRef>
              <c:f>Calculations!$B$23:$B$29</c:f>
              <c:numCache>
                <c:formatCode>#,##0</c:formatCode>
                <c:ptCount val="6"/>
                <c:pt idx="0">
                  <c:v>2903200</c:v>
                </c:pt>
                <c:pt idx="1">
                  <c:v>5526400</c:v>
                </c:pt>
                <c:pt idx="2">
                  <c:v>4144600</c:v>
                </c:pt>
                <c:pt idx="3">
                  <c:v>4589600</c:v>
                </c:pt>
                <c:pt idx="4">
                  <c:v>5872700</c:v>
                </c:pt>
                <c:pt idx="5">
                  <c:v>4904000</c:v>
                </c:pt>
              </c:numCache>
            </c:numRef>
          </c:val>
          <c:extLst>
            <c:ext xmlns:c16="http://schemas.microsoft.com/office/drawing/2014/chart" uri="{C3380CC4-5D6E-409C-BE32-E72D297353CC}">
              <c16:uniqueId val="{00000000-9F8C-4471-BB49-7B6043B04B1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[Sales_Dashboard_Data.xlsx]Calculations!PivotTable1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 Sales &amp; Profit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Calculations!$B$3</c:f>
              <c:strCache>
                <c:ptCount val="1"/>
                <c:pt idx="0">
                  <c:v>Sum of Total Sales (EGP)</c:v>
                </c:pt>
              </c:strCache>
            </c:strRef>
          </c:tx>
          <c:spPr>
            <a:ln w="28575" cap="rnd">
              <a:solidFill>
                <a:schemeClr val="accent1">
                  <a:shade val="76000"/>
                </a:schemeClr>
              </a:solidFill>
              <a:round/>
            </a:ln>
            <a:effectLst/>
          </c:spPr>
          <c:marker>
            <c:symbol val="none"/>
          </c:marker>
          <c:cat>
            <c:strRef>
              <c:f>Calculations!$A$4:$A$16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Calculations!$B$4:$B$16</c:f>
              <c:numCache>
                <c:formatCode>#,##0</c:formatCode>
                <c:ptCount val="12"/>
                <c:pt idx="0">
                  <c:v>1787700</c:v>
                </c:pt>
                <c:pt idx="1">
                  <c:v>2561700</c:v>
                </c:pt>
                <c:pt idx="2">
                  <c:v>2598700</c:v>
                </c:pt>
                <c:pt idx="3">
                  <c:v>1735000</c:v>
                </c:pt>
                <c:pt idx="4">
                  <c:v>2435900</c:v>
                </c:pt>
                <c:pt idx="5">
                  <c:v>1444400</c:v>
                </c:pt>
                <c:pt idx="6">
                  <c:v>2464400</c:v>
                </c:pt>
                <c:pt idx="7">
                  <c:v>3473400</c:v>
                </c:pt>
                <c:pt idx="8">
                  <c:v>2709700</c:v>
                </c:pt>
                <c:pt idx="9">
                  <c:v>2495400</c:v>
                </c:pt>
                <c:pt idx="10">
                  <c:v>2164900</c:v>
                </c:pt>
                <c:pt idx="11">
                  <c:v>2069300</c:v>
                </c:pt>
              </c:numCache>
            </c:numRef>
          </c:val>
          <c:smooth val="0"/>
          <c:extLst>
            <c:ext xmlns:c16="http://schemas.microsoft.com/office/drawing/2014/chart" uri="{C3380CC4-5D6E-409C-BE32-E72D297353CC}">
              <c16:uniqueId val="{00000000-CC4A-4E9E-B16E-1FDC88C2F9FC}"/>
            </c:ext>
          </c:extLst>
        </c:ser>
        <c:dLbls>
          <c:showLegendKey val="0"/>
          <c:showVal val="0"/>
          <c:showCatName val="0"/>
          <c:showSerName val="0"/>
          <c:showPercent val="0"/>
          <c:showBubbleSize val="0"/>
        </c:dLbls>
        <c:marker val="1"/>
        <c:smooth val="0"/>
        <c:axId val="418955920"/>
        <c:axId val="418952680"/>
      </c:lineChart>
      <c:lineChart>
        <c:grouping val="stacked"/>
        <c:varyColors val="0"/>
        <c:ser>
          <c:idx val="1"/>
          <c:order val="1"/>
          <c:tx>
            <c:strRef>
              <c:f>Calculations!$C$3</c:f>
              <c:strCache>
                <c:ptCount val="1"/>
                <c:pt idx="0">
                  <c:v>Sum of Profit (EGP)</c:v>
                </c:pt>
              </c:strCache>
            </c:strRef>
          </c:tx>
          <c:spPr>
            <a:ln w="28575" cap="rnd">
              <a:solidFill>
                <a:schemeClr val="accent1">
                  <a:tint val="77000"/>
                </a:schemeClr>
              </a:solidFill>
              <a:round/>
            </a:ln>
            <a:effectLst/>
          </c:spPr>
          <c:marker>
            <c:symbol val="none"/>
          </c:marker>
          <c:cat>
            <c:strRef>
              <c:f>Calculations!$A$4:$A$16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Calculations!$C$4:$C$16</c:f>
              <c:numCache>
                <c:formatCode>#,##0</c:formatCode>
                <c:ptCount val="12"/>
                <c:pt idx="0">
                  <c:v>720665</c:v>
                </c:pt>
                <c:pt idx="1">
                  <c:v>1009558</c:v>
                </c:pt>
                <c:pt idx="2">
                  <c:v>1035953</c:v>
                </c:pt>
                <c:pt idx="3">
                  <c:v>709417</c:v>
                </c:pt>
                <c:pt idx="4">
                  <c:v>1006872</c:v>
                </c:pt>
                <c:pt idx="5">
                  <c:v>610450</c:v>
                </c:pt>
                <c:pt idx="6">
                  <c:v>993756</c:v>
                </c:pt>
                <c:pt idx="7">
                  <c:v>1363296</c:v>
                </c:pt>
                <c:pt idx="8">
                  <c:v>1086199</c:v>
                </c:pt>
                <c:pt idx="9">
                  <c:v>1006184</c:v>
                </c:pt>
                <c:pt idx="10">
                  <c:v>867676</c:v>
                </c:pt>
                <c:pt idx="11">
                  <c:v>844313</c:v>
                </c:pt>
              </c:numCache>
            </c:numRef>
          </c:val>
          <c:smooth val="0"/>
          <c:extLst>
            <c:ext xmlns:c16="http://schemas.microsoft.com/office/drawing/2014/chart" uri="{C3380CC4-5D6E-409C-BE32-E72D297353CC}">
              <c16:uniqueId val="{00000001-CC4A-4E9E-B16E-1FDC88C2F9FC}"/>
            </c:ext>
          </c:extLst>
        </c:ser>
        <c:dLbls>
          <c:showLegendKey val="0"/>
          <c:showVal val="0"/>
          <c:showCatName val="0"/>
          <c:showSerName val="0"/>
          <c:showPercent val="0"/>
          <c:showBubbleSize val="0"/>
        </c:dLbls>
        <c:marker val="1"/>
        <c:smooth val="0"/>
        <c:axId val="642239240"/>
        <c:axId val="642232400"/>
      </c:lineChart>
      <c:catAx>
        <c:axId val="4189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18952680"/>
        <c:crosses val="autoZero"/>
        <c:auto val="1"/>
        <c:lblAlgn val="ctr"/>
        <c:lblOffset val="100"/>
        <c:noMultiLvlLbl val="0"/>
      </c:catAx>
      <c:valAx>
        <c:axId val="418952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18955920"/>
        <c:crosses val="autoZero"/>
        <c:crossBetween val="between"/>
      </c:valAx>
      <c:valAx>
        <c:axId val="6422324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42239240"/>
        <c:crosses val="max"/>
        <c:crossBetween val="between"/>
      </c:valAx>
      <c:catAx>
        <c:axId val="642239240"/>
        <c:scaling>
          <c:orientation val="minMax"/>
        </c:scaling>
        <c:delete val="1"/>
        <c:axPos val="b"/>
        <c:numFmt formatCode="General" sourceLinked="1"/>
        <c:majorTickMark val="out"/>
        <c:minorTickMark val="none"/>
        <c:tickLblPos val="nextTo"/>
        <c:crossAx val="642232400"/>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[Sales_Dashboard_Data.xlsx]Calculations!PivotTable2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Calculations!$E$22</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Calculations!$D$23:$D$31</c:f>
              <c:strCache>
                <c:ptCount val="8"/>
                <c:pt idx="0">
                  <c:v>Laptop</c:v>
                </c:pt>
                <c:pt idx="1">
                  <c:v>Camera</c:v>
                </c:pt>
                <c:pt idx="2">
                  <c:v>Mobile</c:v>
                </c:pt>
                <c:pt idx="3">
                  <c:v>Monitor</c:v>
                </c:pt>
                <c:pt idx="4">
                  <c:v>Tablet</c:v>
                </c:pt>
                <c:pt idx="5">
                  <c:v>Smart Watch</c:v>
                </c:pt>
                <c:pt idx="6">
                  <c:v>Speaker</c:v>
                </c:pt>
                <c:pt idx="7">
                  <c:v>Headphones</c:v>
                </c:pt>
              </c:strCache>
            </c:strRef>
          </c:cat>
          <c:val>
            <c:numRef>
              <c:f>Calculations!$E$23:$E$31</c:f>
              <c:numCache>
                <c:formatCode>#,##0</c:formatCode>
                <c:ptCount val="8"/>
                <c:pt idx="0">
                  <c:v>7966700</c:v>
                </c:pt>
                <c:pt idx="1">
                  <c:v>5402300</c:v>
                </c:pt>
                <c:pt idx="2">
                  <c:v>4500300</c:v>
                </c:pt>
                <c:pt idx="3">
                  <c:v>2939600</c:v>
                </c:pt>
                <c:pt idx="4">
                  <c:v>2902000</c:v>
                </c:pt>
                <c:pt idx="5">
                  <c:v>1601400</c:v>
                </c:pt>
                <c:pt idx="6">
                  <c:v>1594400</c:v>
                </c:pt>
                <c:pt idx="7">
                  <c:v>1033800</c:v>
                </c:pt>
              </c:numCache>
            </c:numRef>
          </c:val>
          <c:extLst>
            <c:ext xmlns:c16="http://schemas.microsoft.com/office/drawing/2014/chart" uri="{C3380CC4-5D6E-409C-BE32-E72D297353CC}">
              <c16:uniqueId val="{00000000-5838-4D4D-BC6B-2974011BE2DA}"/>
            </c:ext>
          </c:extLst>
        </c:ser>
        <c:dLbls>
          <c:showLegendKey val="0"/>
          <c:showVal val="0"/>
          <c:showCatName val="0"/>
          <c:showSerName val="0"/>
          <c:showPercent val="0"/>
          <c:showBubbleSize val="0"/>
        </c:dLbls>
        <c:gapWidth val="100"/>
        <c:overlap val="-24"/>
        <c:axId val="645726576"/>
        <c:axId val="645723696"/>
      </c:barChart>
      <c:catAx>
        <c:axId val="645726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5723696"/>
        <c:crosses val="autoZero"/>
        <c:auto val="1"/>
        <c:lblAlgn val="ctr"/>
        <c:lblOffset val="100"/>
        <c:noMultiLvlLbl val="0"/>
      </c:catAx>
      <c:valAx>
        <c:axId val="645723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572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[Sales_Dashboard_Data.xlsx]Calculations!PivotTable4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Calculations!$B$22</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E9F5-4038-8FD9-2CEB9BFACE89}"/>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E9F5-4038-8FD9-2CEB9BFACE89}"/>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E9F5-4038-8FD9-2CEB9BFACE89}"/>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E9F5-4038-8FD9-2CEB9BFACE89}"/>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E9F5-4038-8FD9-2CEB9BFACE89}"/>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0B-E9F5-4038-8FD9-2CEB9BFACE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Calculations!$A$23:$A$29</c:f>
              <c:strCache>
                <c:ptCount val="6"/>
                <c:pt idx="0">
                  <c:v>Alexandria</c:v>
                </c:pt>
                <c:pt idx="1">
                  <c:v>Aswan</c:v>
                </c:pt>
                <c:pt idx="2">
                  <c:v>Cairo</c:v>
                </c:pt>
                <c:pt idx="3">
                  <c:v>Giza</c:v>
                </c:pt>
                <c:pt idx="4">
                  <c:v>Luxor</c:v>
                </c:pt>
                <c:pt idx="5">
                  <c:v>Mansoura</c:v>
                </c:pt>
              </c:strCache>
            </c:strRef>
          </c:cat>
          <c:val>
            <c:numRef>
              <c:f>Calculations!$B$23:$B$29</c:f>
              <c:numCache>
                <c:formatCode>#,##0</c:formatCode>
                <c:ptCount val="6"/>
                <c:pt idx="0">
                  <c:v>2903200</c:v>
                </c:pt>
                <c:pt idx="1">
                  <c:v>5526400</c:v>
                </c:pt>
                <c:pt idx="2">
                  <c:v>4144600</c:v>
                </c:pt>
                <c:pt idx="3">
                  <c:v>4589600</c:v>
                </c:pt>
                <c:pt idx="4">
                  <c:v>5872700</c:v>
                </c:pt>
                <c:pt idx="5">
                  <c:v>4904000</c:v>
                </c:pt>
              </c:numCache>
            </c:numRef>
          </c:val>
          <c:extLst>
            <c:ext xmlns:c16="http://schemas.microsoft.com/office/drawing/2014/chart" uri="{C3380CC4-5D6E-409C-BE32-E72D297353CC}">
              <c16:uniqueId val="{0000000C-E9F5-4038-8FD9-2CEB9BFACE89}"/>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233642</xdr:colOff>
      <xdr:row>1</xdr:row>
      <xdr:rowOff>134471</xdr:rowOff>
    </xdr:from>
    <xdr:to>
      <xdr:col>6</xdr:col>
      <xdr:colOff>1098176</xdr:colOff>
      <xdr:row>16</xdr:row>
      <xdr:rowOff>134471</xdr:rowOff>
    </xdr:to>
    <xdr:graphicFrame macro="">
      <xdr:nvGraphicFramePr>
        <xdr:cNvPr id="2" name="Chart 1">
          <a:extLst>
            <a:ext uri="{FF2B5EF4-FFF2-40B4-BE49-F238E27FC236}">
              <a16:creationId xmlns:a16="http://schemas.microsoft.com/office/drawing/2014/main" id="{268C2D23-EFA7-8987-3236-642326141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224119</xdr:colOff>
      <xdr:row>18</xdr:row>
      <xdr:rowOff>146797</xdr:rowOff>
    </xdr:from>
    <xdr:to>
      <xdr:col>7</xdr:col>
      <xdr:colOff>1524000</xdr:colOff>
      <xdr:row>33</xdr:row>
      <xdr:rowOff>32497</xdr:rowOff>
    </xdr:to>
    <xdr:graphicFrame macro="">
      <xdr:nvGraphicFramePr>
        <xdr:cNvPr id="3" name="Chart 2">
          <a:extLst>
            <a:ext uri="{FF2B5EF4-FFF2-40B4-BE49-F238E27FC236}">
              <a16:creationId xmlns:a16="http://schemas.microsoft.com/office/drawing/2014/main" id="{988CB46A-B0BB-B2AA-4CA7-A195161E0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1120</xdr:rowOff>
    </xdr:from>
    <xdr:to>
      <xdr:col>4</xdr:col>
      <xdr:colOff>56029</xdr:colOff>
      <xdr:row>46</xdr:row>
      <xdr:rowOff>77320</xdr:rowOff>
    </xdr:to>
    <xdr:graphicFrame macro="">
      <xdr:nvGraphicFramePr>
        <xdr:cNvPr id="4" name="Chart 3">
          <a:extLst>
            <a:ext uri="{FF2B5EF4-FFF2-40B4-BE49-F238E27FC236}">
              <a16:creationId xmlns:a16="http://schemas.microsoft.com/office/drawing/2014/main" id="{CD03D646-E90C-14CA-BF91-89A55832D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544411</xdr:colOff>
      <xdr:row>8</xdr:row>
      <xdr:rowOff>171821</xdr:rowOff>
    </xdr:from>
    <xdr:to>
      <xdr:col>17</xdr:col>
      <xdr:colOff>525360</xdr:colOff>
      <xdr:row>23</xdr:row>
      <xdr:rowOff>171821</xdr:rowOff>
    </xdr:to>
    <xdr:graphicFrame macro="">
      <xdr:nvGraphicFramePr>
        <xdr:cNvPr id="2" name="Chart 1">
          <a:extLst>
            <a:ext uri="{FF2B5EF4-FFF2-40B4-BE49-F238E27FC236}">
              <a16:creationId xmlns:a16="http://schemas.microsoft.com/office/drawing/2014/main" id="{9FCC0746-FD7B-4FE4-83D8-C477137E8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534886</xdr:colOff>
      <xdr:row>25</xdr:row>
      <xdr:rowOff>38471</xdr:rowOff>
    </xdr:from>
    <xdr:to>
      <xdr:col>9</xdr:col>
      <xdr:colOff>312471</xdr:colOff>
      <xdr:row>39</xdr:row>
      <xdr:rowOff>114671</xdr:rowOff>
    </xdr:to>
    <xdr:graphicFrame macro="">
      <xdr:nvGraphicFramePr>
        <xdr:cNvPr id="3" name="Chart 2">
          <a:extLst>
            <a:ext uri="{FF2B5EF4-FFF2-40B4-BE49-F238E27FC236}">
              <a16:creationId xmlns:a16="http://schemas.microsoft.com/office/drawing/2014/main" id="{677A6F62-2B9E-427B-BA34-A992AEA71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198171</xdr:colOff>
      <xdr:row>25</xdr:row>
      <xdr:rowOff>19421</xdr:rowOff>
    </xdr:from>
    <xdr:to>
      <xdr:col>17</xdr:col>
      <xdr:colOff>502971</xdr:colOff>
      <xdr:row>39</xdr:row>
      <xdr:rowOff>95621</xdr:rowOff>
    </xdr:to>
    <xdr:graphicFrame macro="">
      <xdr:nvGraphicFramePr>
        <xdr:cNvPr id="4" name="Chart 3">
          <a:extLst>
            <a:ext uri="{FF2B5EF4-FFF2-40B4-BE49-F238E27FC236}">
              <a16:creationId xmlns:a16="http://schemas.microsoft.com/office/drawing/2014/main" id="{1BBC58AE-5DA7-474F-9C94-9F360659F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596347</xdr:colOff>
      <xdr:row>2</xdr:row>
      <xdr:rowOff>182218</xdr:rowOff>
    </xdr:from>
    <xdr:to>
      <xdr:col>5</xdr:col>
      <xdr:colOff>8282</xdr:colOff>
      <xdr:row>7</xdr:row>
      <xdr:rowOff>8283</xdr:rowOff>
    </xdr:to>
    <xdr:grpSp>
      <xdr:nvGrpSpPr>
        <xdr:cNvPr id="8" name="Group 7">
          <a:extLst>
            <a:ext uri="{FF2B5EF4-FFF2-40B4-BE49-F238E27FC236}">
              <a16:creationId xmlns:a16="http://schemas.microsoft.com/office/drawing/2014/main" id="{4F03B008-17BC-C8D5-7AD0-B14F418A0F30}"/>
            </a:ext>
          </a:extLst>
        </xdr:cNvPr>
        <xdr:cNvGrpSpPr/>
      </xdr:nvGrpSpPr>
      <xdr:grpSpPr>
        <a:xfrm>
          <a:off x="596347" y="701763"/>
          <a:ext cx="2442617" cy="778565"/>
          <a:chOff x="596347" y="704022"/>
          <a:chExt cx="2476500" cy="778565"/>
        </a:xfrm>
      </xdr:grpSpPr>
      <xdr:sp macro="" textlink="">
        <xdr:nvSpPr>
          <xdr:cNvPr id="5" name="Rectangle 4">
            <a:extLst>
              <a:ext uri="{FF2B5EF4-FFF2-40B4-BE49-F238E27FC236}">
                <a16:creationId xmlns:a16="http://schemas.microsoft.com/office/drawing/2014/main" id="{C574CBAB-A8A7-E2E7-7409-0CB24EF723B6}"/>
              </a:ext>
            </a:extLst>
          </xdr:cNvPr>
          <xdr:cNvSpPr/>
        </xdr:nvSpPr>
        <xdr:spPr>
          <a:xfrm>
            <a:off x="596347" y="704022"/>
            <a:ext cx="2476500" cy="778565"/>
          </a:xfrm>
          <a:prstGeom prst="rect">
            <a:avLst/>
          </a:prstGeom>
          <a:solidFill>
            <a:schemeClr val="bg1"/>
          </a:solidFill>
          <a:ln>
            <a:solidFill>
              <a:schemeClr val="tx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AC46934E-DB2B-91F8-D621-5B2E96FA2057}"/>
              </a:ext>
            </a:extLst>
          </xdr:cNvPr>
          <xdr:cNvSpPr txBox="1"/>
        </xdr:nvSpPr>
        <xdr:spPr>
          <a:xfrm>
            <a:off x="778566" y="737153"/>
            <a:ext cx="2095500" cy="339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lumMod val="50000"/>
                    <a:lumOff val="50000"/>
                  </a:schemeClr>
                </a:solidFill>
              </a:rPr>
              <a:t>Total Sales</a:t>
            </a:r>
          </a:p>
        </xdr:txBody>
      </xdr:sp>
      <xdr:sp macro="" textlink="">
        <xdr:nvSpPr>
          <xdr:cNvPr id="7" name="TextBox 6">
            <a:extLst>
              <a:ext uri="{FF2B5EF4-FFF2-40B4-BE49-F238E27FC236}">
                <a16:creationId xmlns:a16="http://schemas.microsoft.com/office/drawing/2014/main" id="{83DFC76E-6FB4-BBC5-5040-2C1B9150C0EA}"/>
              </a:ext>
            </a:extLst>
          </xdr:cNvPr>
          <xdr:cNvSpPr txBox="1"/>
        </xdr:nvSpPr>
        <xdr:spPr>
          <a:xfrm>
            <a:off x="861393" y="1126434"/>
            <a:ext cx="1813891"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solidFill>
              </a:rPr>
              <a:t>27,940,500 EGP</a:t>
            </a:r>
          </a:p>
        </xdr:txBody>
      </xdr:sp>
    </xdr:grpSp>
    <xdr:clientData/>
  </xdr:twoCellAnchor>
  <xdr:twoCellAnchor>
    <xdr:from>
      <xdr:col>5</xdr:col>
      <xdr:colOff>185529</xdr:colOff>
      <xdr:row>3</xdr:row>
      <xdr:rowOff>3313</xdr:rowOff>
    </xdr:from>
    <xdr:to>
      <xdr:col>9</xdr:col>
      <xdr:colOff>210377</xdr:colOff>
      <xdr:row>7</xdr:row>
      <xdr:rowOff>19878</xdr:rowOff>
    </xdr:to>
    <xdr:grpSp>
      <xdr:nvGrpSpPr>
        <xdr:cNvPr id="9" name="Group 8">
          <a:extLst>
            <a:ext uri="{FF2B5EF4-FFF2-40B4-BE49-F238E27FC236}">
              <a16:creationId xmlns:a16="http://schemas.microsoft.com/office/drawing/2014/main" id="{758691F8-DA28-41AE-B9B4-BD503D99AAC3}"/>
            </a:ext>
          </a:extLst>
        </xdr:cNvPr>
        <xdr:cNvGrpSpPr/>
      </xdr:nvGrpSpPr>
      <xdr:grpSpPr>
        <a:xfrm>
          <a:off x="3216211" y="713358"/>
          <a:ext cx="2449393" cy="778565"/>
          <a:chOff x="596347" y="704022"/>
          <a:chExt cx="2476500" cy="778565"/>
        </a:xfrm>
      </xdr:grpSpPr>
      <xdr:sp macro="" textlink="">
        <xdr:nvSpPr>
          <xdr:cNvPr id="10" name="Rectangle 9">
            <a:extLst>
              <a:ext uri="{FF2B5EF4-FFF2-40B4-BE49-F238E27FC236}">
                <a16:creationId xmlns:a16="http://schemas.microsoft.com/office/drawing/2014/main" id="{FF4725FF-DF2A-8C0D-843F-388BF987C9D0}"/>
              </a:ext>
            </a:extLst>
          </xdr:cNvPr>
          <xdr:cNvSpPr/>
        </xdr:nvSpPr>
        <xdr:spPr>
          <a:xfrm>
            <a:off x="596347" y="704022"/>
            <a:ext cx="2476500" cy="778565"/>
          </a:xfrm>
          <a:prstGeom prst="rect">
            <a:avLst/>
          </a:prstGeom>
          <a:solidFill>
            <a:schemeClr val="bg1"/>
          </a:solidFill>
          <a:ln>
            <a:solidFill>
              <a:schemeClr val="tx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8E1BE94C-F820-5DFD-5890-650D0ABC3E28}"/>
              </a:ext>
            </a:extLst>
          </xdr:cNvPr>
          <xdr:cNvSpPr txBox="1"/>
        </xdr:nvSpPr>
        <xdr:spPr>
          <a:xfrm>
            <a:off x="778566" y="737153"/>
            <a:ext cx="2095500" cy="339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lumMod val="50000"/>
                    <a:lumOff val="50000"/>
                  </a:schemeClr>
                </a:solidFill>
              </a:rPr>
              <a:t>Total </a:t>
            </a:r>
            <a:r>
              <a:rPr lang="en-US" sz="1400" b="1">
                <a:ln>
                  <a:noFill/>
                </a:ln>
                <a:solidFill>
                  <a:schemeClr val="tx1">
                    <a:lumMod val="50000"/>
                    <a:lumOff val="50000"/>
                  </a:schemeClr>
                </a:solidFill>
                <a:latin typeface="+mn-lt"/>
                <a:ea typeface="+mn-ea"/>
                <a:cs typeface="+mn-cs"/>
              </a:rPr>
              <a:t>Orders</a:t>
            </a:r>
          </a:p>
        </xdr:txBody>
      </xdr:sp>
      <xdr:sp macro="" textlink="">
        <xdr:nvSpPr>
          <xdr:cNvPr id="12" name="TextBox 11">
            <a:extLst>
              <a:ext uri="{FF2B5EF4-FFF2-40B4-BE49-F238E27FC236}">
                <a16:creationId xmlns:a16="http://schemas.microsoft.com/office/drawing/2014/main" id="{78C9EDF4-24DF-4DB7-A3C9-9A853DD798E4}"/>
              </a:ext>
            </a:extLst>
          </xdr:cNvPr>
          <xdr:cNvSpPr txBox="1"/>
        </xdr:nvSpPr>
        <xdr:spPr>
          <a:xfrm>
            <a:off x="861393" y="1126434"/>
            <a:ext cx="1813891"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800" b="1" i="0" u="none" strike="noStrike">
                <a:solidFill>
                  <a:schemeClr val="tx2"/>
                </a:solidFill>
                <a:effectLst/>
                <a:latin typeface="+mn-lt"/>
                <a:ea typeface="+mn-ea"/>
                <a:cs typeface="+mn-cs"/>
              </a:rPr>
              <a:t>500</a:t>
            </a:r>
            <a:r>
              <a:rPr lang="en-US" sz="1800">
                <a:effectLst/>
              </a:rPr>
              <a:t> </a:t>
            </a:r>
            <a:endParaRPr lang="en-US" sz="1800"/>
          </a:p>
        </xdr:txBody>
      </xdr:sp>
    </xdr:grpSp>
    <xdr:clientData/>
  </xdr:twoCellAnchor>
  <xdr:twoCellAnchor>
    <xdr:from>
      <xdr:col>9</xdr:col>
      <xdr:colOff>329648</xdr:colOff>
      <xdr:row>2</xdr:row>
      <xdr:rowOff>188845</xdr:rowOff>
    </xdr:from>
    <xdr:to>
      <xdr:col>13</xdr:col>
      <xdr:colOff>354495</xdr:colOff>
      <xdr:row>7</xdr:row>
      <xdr:rowOff>14910</xdr:rowOff>
    </xdr:to>
    <xdr:grpSp>
      <xdr:nvGrpSpPr>
        <xdr:cNvPr id="13" name="Group 12">
          <a:extLst>
            <a:ext uri="{FF2B5EF4-FFF2-40B4-BE49-F238E27FC236}">
              <a16:creationId xmlns:a16="http://schemas.microsoft.com/office/drawing/2014/main" id="{4B0FBA8D-D173-4110-8EF1-157B47352871}"/>
            </a:ext>
          </a:extLst>
        </xdr:cNvPr>
        <xdr:cNvGrpSpPr/>
      </xdr:nvGrpSpPr>
      <xdr:grpSpPr>
        <a:xfrm>
          <a:off x="5784875" y="708390"/>
          <a:ext cx="2449393" cy="778565"/>
          <a:chOff x="596347" y="704022"/>
          <a:chExt cx="2476500" cy="778565"/>
        </a:xfrm>
      </xdr:grpSpPr>
      <xdr:sp macro="" textlink="">
        <xdr:nvSpPr>
          <xdr:cNvPr id="14" name="Rectangle 13">
            <a:extLst>
              <a:ext uri="{FF2B5EF4-FFF2-40B4-BE49-F238E27FC236}">
                <a16:creationId xmlns:a16="http://schemas.microsoft.com/office/drawing/2014/main" id="{3DD0A540-331B-F2FB-2EC0-3F4108ADF476}"/>
              </a:ext>
            </a:extLst>
          </xdr:cNvPr>
          <xdr:cNvSpPr/>
        </xdr:nvSpPr>
        <xdr:spPr>
          <a:xfrm>
            <a:off x="596347" y="704022"/>
            <a:ext cx="2476500" cy="778565"/>
          </a:xfrm>
          <a:prstGeom prst="rect">
            <a:avLst/>
          </a:prstGeom>
          <a:solidFill>
            <a:schemeClr val="bg1"/>
          </a:solidFill>
          <a:ln>
            <a:solidFill>
              <a:schemeClr val="tx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9DCC5BA3-FD70-0A73-645E-8BE77E088AC1}"/>
              </a:ext>
            </a:extLst>
          </xdr:cNvPr>
          <xdr:cNvSpPr txBox="1"/>
        </xdr:nvSpPr>
        <xdr:spPr>
          <a:xfrm>
            <a:off x="778566" y="737153"/>
            <a:ext cx="2095500" cy="339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lumMod val="50000"/>
                    <a:lumOff val="50000"/>
                  </a:schemeClr>
                </a:solidFill>
              </a:rPr>
              <a:t>Total </a:t>
            </a:r>
            <a:r>
              <a:rPr lang="en-US" sz="1400" b="1">
                <a:solidFill>
                  <a:schemeClr val="tx1">
                    <a:lumMod val="50000"/>
                    <a:lumOff val="50000"/>
                  </a:schemeClr>
                </a:solidFill>
              </a:rPr>
              <a:t>Profit</a:t>
            </a:r>
            <a:endParaRPr lang="en-US" sz="1400" b="1">
              <a:ln>
                <a:noFill/>
              </a:ln>
              <a:solidFill>
                <a:schemeClr val="tx1">
                  <a:lumMod val="50000"/>
                  <a:lumOff val="50000"/>
                </a:schemeClr>
              </a:solidFill>
            </a:endParaRPr>
          </a:p>
        </xdr:txBody>
      </xdr:sp>
      <xdr:sp macro="" textlink="">
        <xdr:nvSpPr>
          <xdr:cNvPr id="16" name="TextBox 15">
            <a:extLst>
              <a:ext uri="{FF2B5EF4-FFF2-40B4-BE49-F238E27FC236}">
                <a16:creationId xmlns:a16="http://schemas.microsoft.com/office/drawing/2014/main" id="{0FB3E3CF-9C8C-4B7C-F580-302B78555C63}"/>
              </a:ext>
            </a:extLst>
          </xdr:cNvPr>
          <xdr:cNvSpPr txBox="1"/>
        </xdr:nvSpPr>
        <xdr:spPr>
          <a:xfrm>
            <a:off x="861393" y="1126434"/>
            <a:ext cx="1813891"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solidFill>
              </a:rPr>
              <a:t>11,254,339 EGP</a:t>
            </a:r>
          </a:p>
        </xdr:txBody>
      </xdr:sp>
    </xdr:grpSp>
    <xdr:clientData/>
  </xdr:twoCellAnchor>
  <xdr:twoCellAnchor>
    <xdr:from>
      <xdr:col>13</xdr:col>
      <xdr:colOff>490329</xdr:colOff>
      <xdr:row>2</xdr:row>
      <xdr:rowOff>183874</xdr:rowOff>
    </xdr:from>
    <xdr:to>
      <xdr:col>17</xdr:col>
      <xdr:colOff>515177</xdr:colOff>
      <xdr:row>7</xdr:row>
      <xdr:rowOff>9939</xdr:rowOff>
    </xdr:to>
    <xdr:grpSp>
      <xdr:nvGrpSpPr>
        <xdr:cNvPr id="17" name="Group 16">
          <a:extLst>
            <a:ext uri="{FF2B5EF4-FFF2-40B4-BE49-F238E27FC236}">
              <a16:creationId xmlns:a16="http://schemas.microsoft.com/office/drawing/2014/main" id="{E8459FFC-1739-4777-9EE0-3C01A0D16FD9}"/>
            </a:ext>
          </a:extLst>
        </xdr:cNvPr>
        <xdr:cNvGrpSpPr/>
      </xdr:nvGrpSpPr>
      <xdr:grpSpPr>
        <a:xfrm>
          <a:off x="8370102" y="703419"/>
          <a:ext cx="2449393" cy="778565"/>
          <a:chOff x="596347" y="704022"/>
          <a:chExt cx="2476500" cy="778565"/>
        </a:xfrm>
      </xdr:grpSpPr>
      <xdr:sp macro="" textlink="">
        <xdr:nvSpPr>
          <xdr:cNvPr id="18" name="Rectangle 17">
            <a:extLst>
              <a:ext uri="{FF2B5EF4-FFF2-40B4-BE49-F238E27FC236}">
                <a16:creationId xmlns:a16="http://schemas.microsoft.com/office/drawing/2014/main" id="{9048791A-D1F6-22A0-6CCB-DF421BDF554B}"/>
              </a:ext>
            </a:extLst>
          </xdr:cNvPr>
          <xdr:cNvSpPr/>
        </xdr:nvSpPr>
        <xdr:spPr>
          <a:xfrm>
            <a:off x="596347" y="704022"/>
            <a:ext cx="2476500" cy="778565"/>
          </a:xfrm>
          <a:prstGeom prst="rect">
            <a:avLst/>
          </a:prstGeom>
          <a:solidFill>
            <a:schemeClr val="bg1"/>
          </a:solidFill>
          <a:ln>
            <a:solidFill>
              <a:schemeClr val="tx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85CC80DC-B8A1-BF3F-1403-8FD631FB7C46}"/>
              </a:ext>
            </a:extLst>
          </xdr:cNvPr>
          <xdr:cNvSpPr txBox="1"/>
        </xdr:nvSpPr>
        <xdr:spPr>
          <a:xfrm>
            <a:off x="778566" y="737153"/>
            <a:ext cx="2095500" cy="339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Profit Margin</a:t>
            </a:r>
            <a:endParaRPr lang="en-US" sz="1400" b="1">
              <a:ln>
                <a:noFill/>
              </a:ln>
              <a:solidFill>
                <a:schemeClr val="tx1">
                  <a:lumMod val="50000"/>
                  <a:lumOff val="50000"/>
                </a:schemeClr>
              </a:solidFill>
            </a:endParaRPr>
          </a:p>
        </xdr:txBody>
      </xdr:sp>
      <xdr:sp macro="" textlink="">
        <xdr:nvSpPr>
          <xdr:cNvPr id="20" name="TextBox 19">
            <a:extLst>
              <a:ext uri="{FF2B5EF4-FFF2-40B4-BE49-F238E27FC236}">
                <a16:creationId xmlns:a16="http://schemas.microsoft.com/office/drawing/2014/main" id="{FDD28E4E-4EE9-03E7-76CE-4026303F1172}"/>
              </a:ext>
            </a:extLst>
          </xdr:cNvPr>
          <xdr:cNvSpPr txBox="1"/>
        </xdr:nvSpPr>
        <xdr:spPr>
          <a:xfrm>
            <a:off x="861393" y="1126434"/>
            <a:ext cx="1813891"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solidFill>
              </a:rPr>
              <a:t>40.3%</a:t>
            </a:r>
          </a:p>
        </xdr:txBody>
      </xdr:sp>
    </xdr:grpSp>
    <xdr:clientData/>
  </xdr:twoCellAnchor>
  <xdr:twoCellAnchor editAs="oneCell">
    <xdr:from>
      <xdr:col>18</xdr:col>
      <xdr:colOff>459441</xdr:colOff>
      <xdr:row>3</xdr:row>
      <xdr:rowOff>56030</xdr:rowOff>
    </xdr:from>
    <xdr:to>
      <xdr:col>21</xdr:col>
      <xdr:colOff>500342</xdr:colOff>
      <xdr:row>12</xdr:row>
      <xdr:rowOff>118223</xdr:rowOff>
    </xdr:to>
    <mc:AlternateContent xmlns:mc="http://schemas.openxmlformats.org/markup-compatibility/2006">
      <mc:Choice xmlns:a14="http://schemas.microsoft.com/office/drawing/2010/main" Requires="a14">
        <xdr:graphicFrame macro="">
          <xdr:nvGraphicFramePr>
            <xdr:cNvPr id="21" name="Quarter">
              <a:extLst>
                <a:ext uri="{FF2B5EF4-FFF2-40B4-BE49-F238E27FC236}">
                  <a16:creationId xmlns:a16="http://schemas.microsoft.com/office/drawing/2014/main" id="{6078BE3F-ED03-4CA3-AF2C-2A5E3BEB644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369896" y="766075"/>
              <a:ext cx="1859310" cy="1776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481853</xdr:colOff>
      <xdr:row>14</xdr:row>
      <xdr:rowOff>22413</xdr:rowOff>
    </xdr:from>
    <xdr:to>
      <xdr:col>21</xdr:col>
      <xdr:colOff>504264</xdr:colOff>
      <xdr:row>25</xdr:row>
      <xdr:rowOff>33619</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527C310A-6982-4CEC-88E5-AD229CF484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392308" y="2827958"/>
              <a:ext cx="1840820" cy="2106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481852</xdr:colOff>
      <xdr:row>26</xdr:row>
      <xdr:rowOff>11206</xdr:rowOff>
    </xdr:from>
    <xdr:to>
      <xdr:col>21</xdr:col>
      <xdr:colOff>493058</xdr:colOff>
      <xdr:row>36</xdr:row>
      <xdr:rowOff>156883</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557C49AC-5C14-411B-839B-6457860093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392307" y="5102751"/>
              <a:ext cx="1829615" cy="2050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0.956084143516" createdVersion="8" refreshedVersion="8" minRefreshableVersion="3" recordCount="500" xr:uid="{F326D70F-D080-4310-BC03-592D788D1125}">
  <cacheSource type="worksheet">
    <worksheetSource ref="A1:N501" sheet="Sales Data"/>
  </cacheSource>
  <cacheFields count="14">
    <cacheField name="Order ID" numFmtId="0">
      <sharedItems count="500">
        <s v="ORD-0024"/>
        <s v="ORD-0100"/>
        <s v="ORD-0242"/>
        <s v="ORD-0436"/>
        <s v="ORD-0347"/>
        <s v="ORD-0483"/>
        <s v="ORD-0490"/>
        <s v="ORD-0102"/>
        <s v="ORD-0411"/>
        <s v="ORD-0301"/>
        <s v="ORD-0380"/>
        <s v="ORD-0258"/>
        <s v="ORD-0381"/>
        <s v="ORD-0065"/>
        <s v="ORD-0308"/>
        <s v="ORD-0008"/>
        <s v="ORD-0076"/>
        <s v="ORD-0412"/>
        <s v="ORD-0086"/>
        <s v="ORD-0133"/>
        <s v="ORD-0448"/>
        <s v="ORD-0215"/>
        <s v="ORD-0237"/>
        <s v="ORD-0137"/>
        <s v="ORD-0159"/>
        <s v="ORD-0282"/>
        <s v="ORD-0257"/>
        <s v="ORD-0328"/>
        <s v="ORD-0309"/>
        <s v="ORD-0044"/>
        <s v="ORD-0261"/>
        <s v="ORD-0390"/>
        <s v="ORD-0216"/>
        <s v="ORD-0136"/>
        <s v="ORD-0226"/>
        <s v="ORD-0256"/>
        <s v="ORD-0049"/>
        <s v="ORD-0116"/>
        <s v="ORD-0147"/>
        <s v="ORD-0220"/>
        <s v="ORD-0337"/>
        <s v="ORD-0175"/>
        <s v="ORD-0251"/>
        <s v="ORD-0453"/>
        <s v="ORD-0096"/>
        <s v="ORD-0238"/>
        <s v="ORD-0266"/>
        <s v="ORD-0444"/>
        <s v="ORD-0280"/>
        <s v="ORD-0324"/>
        <s v="ORD-0179"/>
        <s v="ORD-0209"/>
        <s v="ORD-0259"/>
        <s v="ORD-0281"/>
        <s v="ORD-0459"/>
        <s v="ORD-0007"/>
        <s v="ORD-0462"/>
        <s v="ORD-0038"/>
        <s v="ORD-0265"/>
        <s v="ORD-0441"/>
        <s v="ORD-0141"/>
        <s v="ORD-0376"/>
        <s v="ORD-0134"/>
        <s v="ORD-0460"/>
        <s v="ORD-0058"/>
        <s v="ORD-0249"/>
        <s v="ORD-0340"/>
        <s v="ORD-0217"/>
        <s v="ORD-0289"/>
        <s v="ORD-0112"/>
        <s v="ORD-0498"/>
        <s v="ORD-0073"/>
        <s v="ORD-0351"/>
        <s v="ORD-0115"/>
        <s v="ORD-0288"/>
        <s v="ORD-0407"/>
        <s v="ORD-0062"/>
        <s v="ORD-0037"/>
        <s v="ORD-0055"/>
        <s v="ORD-0399"/>
        <s v="ORD-0383"/>
        <s v="ORD-0500"/>
        <s v="ORD-0298"/>
        <s v="ORD-0468"/>
        <s v="ORD-0470"/>
        <s v="ORD-0019"/>
        <s v="ORD-0271"/>
        <s v="ORD-0002"/>
        <s v="ORD-0041"/>
        <s v="ORD-0285"/>
        <s v="ORD-0413"/>
        <s v="ORD-0487"/>
        <s v="ORD-0017"/>
        <s v="ORD-0234"/>
        <s v="ORD-0430"/>
        <s v="ORD-0363"/>
        <s v="ORD-0437"/>
        <s v="ORD-0026"/>
        <s v="ORD-0059"/>
        <s v="ORD-0205"/>
        <s v="ORD-0230"/>
        <s v="ORD-0056"/>
        <s v="ORD-0142"/>
        <s v="ORD-0162"/>
        <s v="ORD-0451"/>
        <s v="ORD-0084"/>
        <s v="ORD-0332"/>
        <s v="ORD-0013"/>
        <s v="ORD-0248"/>
        <s v="ORD-0253"/>
        <s v="ORD-0081"/>
        <s v="ORD-0153"/>
        <s v="ORD-0244"/>
        <s v="ORD-0297"/>
        <s v="ORD-0416"/>
        <s v="ORD-0067"/>
        <s v="ORD-0471"/>
        <s v="ORD-0270"/>
        <s v="ORD-0105"/>
        <s v="ORD-0367"/>
        <s v="ORD-0276"/>
        <s v="ORD-0349"/>
        <s v="ORD-0032"/>
        <s v="ORD-0109"/>
        <s v="ORD-0322"/>
        <s v="ORD-0299"/>
        <s v="ORD-0060"/>
        <s v="ORD-0338"/>
        <s v="ORD-0082"/>
        <s v="ORD-0425"/>
        <s v="ORD-0401"/>
        <s v="ORD-0089"/>
        <s v="ORD-0191"/>
        <s v="ORD-0126"/>
        <s v="ORD-0201"/>
        <s v="ORD-0392"/>
        <s v="ORD-0415"/>
        <s v="ORD-0108"/>
        <s v="ORD-0163"/>
        <s v="ORD-0010"/>
        <s v="ORD-0070"/>
        <s v="ORD-0447"/>
        <s v="ORD-0144"/>
        <s v="ORD-0379"/>
        <s v="ORD-0145"/>
        <s v="ORD-0171"/>
        <s v="ORD-0200"/>
        <s v="ORD-0375"/>
        <s v="ORD-0085"/>
        <s v="ORD-0207"/>
        <s v="ORD-0388"/>
        <s v="ORD-0043"/>
        <s v="ORD-0028"/>
        <s v="ORD-0374"/>
        <s v="ORD-0124"/>
        <s v="ORD-0419"/>
        <s v="ORD-0088"/>
        <s v="ORD-0426"/>
        <s v="ORD-0120"/>
        <s v="ORD-0341"/>
        <s v="ORD-0467"/>
        <s v="ORD-0068"/>
        <s v="ORD-0138"/>
        <s v="ORD-0129"/>
        <s v="ORD-0213"/>
        <s v="ORD-0330"/>
        <s v="ORD-0107"/>
        <s v="ORD-0111"/>
        <s v="ORD-0286"/>
        <s v="ORD-0023"/>
        <s v="ORD-0233"/>
        <s v="ORD-0302"/>
        <s v="ORD-0455"/>
        <s v="ORD-0221"/>
        <s v="ORD-0466"/>
        <s v="ORD-0011"/>
        <s v="ORD-0071"/>
        <s v="ORD-0315"/>
        <s v="ORD-0206"/>
        <s v="ORD-0473"/>
        <s v="ORD-0277"/>
        <s v="ORD-0346"/>
        <s v="ORD-0427"/>
        <s v="ORD-0275"/>
        <s v="ORD-0382"/>
        <s v="ORD-0045"/>
        <s v="ORD-0378"/>
        <s v="ORD-0403"/>
        <s v="ORD-0229"/>
        <s v="ORD-0368"/>
        <s v="ORD-0371"/>
        <s v="ORD-0243"/>
        <s v="ORD-0009"/>
        <s v="ORD-0181"/>
        <s v="ORD-0080"/>
        <s v="ORD-0385"/>
        <s v="ORD-0457"/>
        <s v="ORD-0486"/>
        <s v="ORD-0140"/>
        <s v="ORD-0053"/>
        <s v="ORD-0336"/>
        <s v="ORD-0465"/>
        <s v="ORD-0113"/>
        <s v="ORD-0052"/>
        <s v="ORD-0225"/>
        <s v="ORD-0343"/>
        <s v="ORD-0015"/>
        <s v="ORD-0016"/>
        <s v="ORD-0170"/>
        <s v="ORD-0306"/>
        <s v="ORD-0329"/>
        <s v="ORD-0365"/>
        <s v="ORD-0496"/>
        <s v="ORD-0106"/>
        <s v="ORD-0386"/>
        <s v="ORD-0228"/>
        <s v="ORD-0452"/>
        <s v="ORD-0210"/>
        <s v="ORD-0296"/>
        <s v="ORD-0284"/>
        <s v="ORD-0333"/>
        <s v="ORD-0040"/>
        <s v="ORD-0196"/>
        <s v="ORD-0264"/>
        <s v="ORD-0135"/>
        <s v="ORD-0454"/>
        <s v="ORD-0169"/>
        <s v="ORD-0295"/>
        <s v="ORD-0339"/>
        <s v="ORD-0409"/>
        <s v="ORD-0155"/>
        <s v="ORD-0369"/>
        <s v="ORD-0406"/>
        <s v="ORD-0012"/>
        <s v="ORD-0066"/>
        <s v="ORD-0442"/>
        <s v="ORD-0481"/>
        <s v="ORD-0208"/>
        <s v="ORD-0214"/>
        <s v="ORD-0132"/>
        <s v="ORD-0428"/>
        <s v="ORD-0312"/>
        <s v="ORD-0193"/>
        <s v="ORD-0127"/>
        <s v="ORD-0231"/>
        <s v="ORD-0064"/>
        <s v="ORD-0236"/>
        <s v="ORD-0429"/>
        <s v="ORD-0227"/>
        <s v="ORD-0279"/>
        <s v="ORD-0283"/>
        <s v="ORD-0268"/>
        <s v="ORD-0273"/>
        <s v="ORD-0405"/>
        <s v="ORD-0423"/>
        <s v="ORD-0177"/>
        <s v="ORD-0370"/>
        <s v="ORD-0458"/>
        <s v="ORD-0469"/>
        <s v="ORD-0187"/>
        <s v="ORD-0021"/>
        <s v="ORD-0172"/>
        <s v="ORD-0294"/>
        <s v="ORD-0421"/>
        <s v="ORD-0463"/>
        <s v="ORD-0189"/>
        <s v="ORD-0198"/>
        <s v="ORD-0250"/>
        <s v="ORD-0219"/>
        <s v="ORD-0353"/>
        <s v="ORD-0348"/>
        <s v="ORD-0247"/>
        <s v="ORD-0143"/>
        <s v="ORD-0325"/>
        <s v="ORD-0418"/>
        <s v="ORD-0476"/>
        <s v="ORD-0156"/>
        <s v="ORD-0182"/>
        <s v="ORD-0087"/>
        <s v="ORD-0194"/>
        <s v="ORD-0431"/>
        <s v="ORD-0051"/>
        <s v="ORD-0342"/>
        <s v="ORD-0410"/>
        <s v="ORD-0479"/>
        <s v="ORD-0003"/>
        <s v="ORD-0006"/>
        <s v="ORD-0146"/>
        <s v="ORD-0305"/>
        <s v="ORD-0063"/>
        <s v="ORD-0240"/>
        <s v="ORD-0117"/>
        <s v="ORD-0456"/>
        <s v="ORD-0118"/>
        <s v="ORD-0446"/>
        <s v="ORD-0150"/>
        <s v="ORD-0161"/>
        <s v="ORD-0274"/>
        <s v="ORD-0311"/>
        <s v="ORD-0303"/>
        <s v="ORD-0042"/>
        <s v="ORD-0160"/>
        <s v="ORD-0239"/>
        <s v="ORD-0395"/>
        <s v="ORD-0005"/>
        <s v="ORD-0260"/>
        <s v="ORD-0326"/>
        <s v="ORD-0350"/>
        <s v="ORD-0422"/>
        <s v="ORD-0033"/>
        <s v="ORD-0489"/>
        <s v="ORD-0157"/>
        <s v="ORD-0204"/>
        <s v="ORD-0222"/>
        <s v="ORD-0224"/>
        <s v="ORD-0174"/>
        <s v="ORD-0345"/>
        <s v="ORD-0384"/>
        <s v="ORD-0246"/>
        <s v="ORD-0443"/>
        <s v="ORD-0184"/>
        <s v="ORD-0475"/>
        <s v="ORD-0492"/>
        <s v="ORD-0091"/>
        <s v="ORD-0083"/>
        <s v="ORD-0098"/>
        <s v="ORD-0039"/>
        <s v="ORD-0103"/>
        <s v="ORD-0069"/>
        <s v="ORD-0165"/>
        <s v="ORD-0364"/>
        <s v="ORD-0354"/>
        <s v="ORD-0093"/>
        <s v="ORD-0445"/>
        <s v="ORD-0048"/>
        <s v="ORD-0387"/>
        <s v="ORD-0372"/>
        <s v="ORD-0119"/>
        <s v="ORD-0488"/>
        <s v="ORD-0029"/>
        <s v="ORD-0046"/>
        <s v="ORD-0122"/>
        <s v="ORD-0398"/>
        <s v="ORD-0318"/>
        <s v="ORD-0203"/>
        <s v="ORD-0254"/>
        <s v="ORD-0190"/>
        <s v="ORD-0304"/>
        <s v="ORD-0164"/>
        <s v="ORD-0316"/>
        <s v="ORD-0344"/>
        <s v="ORD-0195"/>
        <s v="ORD-0391"/>
        <s v="ORD-0092"/>
        <s v="ORD-0262"/>
        <s v="ORD-0079"/>
        <s v="ORD-0167"/>
        <s v="ORD-0072"/>
        <s v="ORD-0075"/>
        <s v="ORD-0036"/>
        <s v="ORD-0158"/>
        <s v="ORD-0300"/>
        <s v="ORD-0491"/>
        <s v="ORD-0094"/>
        <s v="ORD-0397"/>
        <s v="ORD-0464"/>
        <s v="ORD-0263"/>
        <s v="ORD-0361"/>
        <s v="ORD-0435"/>
        <s v="ORD-0272"/>
        <s v="ORD-0057"/>
        <s v="ORD-0287"/>
        <s v="ORD-0497"/>
        <s v="ORD-0235"/>
        <s v="ORD-0366"/>
        <s v="ORD-0130"/>
        <s v="ORD-0440"/>
        <s v="ORD-0047"/>
        <s v="ORD-0402"/>
        <s v="ORD-0293"/>
        <s v="ORD-0101"/>
        <s v="ORD-0434"/>
        <s v="ORD-0474"/>
        <s v="ORD-0396"/>
        <s v="ORD-0128"/>
        <s v="ORD-0223"/>
        <s v="ORD-0439"/>
        <s v="ORD-0022"/>
        <s v="ORD-0211"/>
        <s v="ORD-0323"/>
        <s v="ORD-0461"/>
        <s v="ORD-0090"/>
        <s v="ORD-0352"/>
        <s v="ORD-0484"/>
        <s v="ORD-0232"/>
        <s v="ORD-0420"/>
        <s v="ORD-0255"/>
        <s v="ORD-0050"/>
        <s v="ORD-0121"/>
        <s v="ORD-0148"/>
        <s v="ORD-0432"/>
        <s v="ORD-0314"/>
        <s v="ORD-0389"/>
        <s v="ORD-0188"/>
        <s v="ORD-0290"/>
        <s v="ORD-0360"/>
        <s v="ORD-0018"/>
        <s v="ORD-0154"/>
        <s v="ORD-0152"/>
        <s v="ORD-0168"/>
        <s v="ORD-0450"/>
        <s v="ORD-0034"/>
        <s v="ORD-0131"/>
        <s v="ORD-0485"/>
        <s v="ORD-0173"/>
        <s v="ORD-0104"/>
        <s v="ORD-0356"/>
        <s v="ORD-0494"/>
        <s v="ORD-0480"/>
        <s v="ORD-0074"/>
        <s v="ORD-0123"/>
        <s v="ORD-0212"/>
        <s v="ORD-0027"/>
        <s v="ORD-0166"/>
        <s v="ORD-0414"/>
        <s v="ORD-0478"/>
        <s v="ORD-0004"/>
        <s v="ORD-0307"/>
        <s v="ORD-0151"/>
        <s v="ORD-0278"/>
        <s v="ORD-0031"/>
        <s v="ORD-0393"/>
        <s v="ORD-0355"/>
        <s v="ORD-0291"/>
        <s v="ORD-0139"/>
        <s v="ORD-0178"/>
        <s v="ORD-0438"/>
        <s v="ORD-0183"/>
        <s v="ORD-0054"/>
        <s v="ORD-0078"/>
        <s v="ORD-0025"/>
        <s v="ORD-0331"/>
        <s v="ORD-0020"/>
        <s v="ORD-0192"/>
        <s v="ORD-0035"/>
        <s v="ORD-0061"/>
        <s v="ORD-0472"/>
        <s v="ORD-0001"/>
        <s v="ORD-0186"/>
        <s v="ORD-0327"/>
        <s v="ORD-0335"/>
        <s v="ORD-0334"/>
        <s v="ORD-0433"/>
        <s v="ORD-0125"/>
        <s v="ORD-0252"/>
        <s v="ORD-0404"/>
        <s v="ORD-0202"/>
        <s v="ORD-0377"/>
        <s v="ORD-0449"/>
        <s v="ORD-0493"/>
        <s v="ORD-0030"/>
        <s v="ORD-0218"/>
        <s v="ORD-0477"/>
        <s v="ORD-0267"/>
        <s v="ORD-0394"/>
        <s v="ORD-0241"/>
        <s v="ORD-0110"/>
        <s v="ORD-0245"/>
        <s v="ORD-0292"/>
        <s v="ORD-0077"/>
        <s v="ORD-0269"/>
        <s v="ORD-0417"/>
        <s v="ORD-0424"/>
        <s v="ORD-0199"/>
        <s v="ORD-0358"/>
        <s v="ORD-0400"/>
        <s v="ORD-0408"/>
        <s v="ORD-0499"/>
        <s v="ORD-0185"/>
        <s v="ORD-0197"/>
        <s v="ORD-0482"/>
        <s v="ORD-0310"/>
        <s v="ORD-0313"/>
        <s v="ORD-0014"/>
        <s v="ORD-0359"/>
        <s v="ORD-0114"/>
        <s v="ORD-0176"/>
        <s v="ORD-0180"/>
        <s v="ORD-0099"/>
        <s v="ORD-0373"/>
        <s v="ORD-0149"/>
        <s v="ORD-0362"/>
        <s v="ORD-0317"/>
        <s v="ORD-0495"/>
        <s v="ORD-0097"/>
        <s v="ORD-0357"/>
        <s v="ORD-0320"/>
        <s v="ORD-0321"/>
        <s v="ORD-0095"/>
        <s v="ORD-0319"/>
      </sharedItems>
    </cacheField>
    <cacheField name="Date" numFmtId="164">
      <sharedItems containsSemiMixedTypes="0" containsNonDate="0" containsDate="1" containsString="0" minDate="2024-01-02T00:00:00" maxDate="2025-01-01T00:00:00"/>
    </cacheField>
    <cacheField name="Month" numFmtId="0">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Salesperson" numFmtId="0">
      <sharedItems/>
    </cacheField>
    <cacheField name="Region" numFmtId="0">
      <sharedItems count="6">
        <s v="Cairo"/>
        <s v="Luxor"/>
        <s v="Giza"/>
        <s v="Mansoura"/>
        <s v="Alexandria"/>
        <s v="Aswan"/>
      </sharedItems>
    </cacheField>
    <cacheField name="Product" numFmtId="0">
      <sharedItems count="8">
        <s v="Smart Watch"/>
        <s v="Camera"/>
        <s v="Headphones"/>
        <s v="Speaker"/>
        <s v="Mobile"/>
        <s v="Monitor"/>
        <s v="Laptop"/>
        <s v="Tablet"/>
      </sharedItems>
    </cacheField>
    <cacheField name="Category" numFmtId="0">
      <sharedItems count="6">
        <s v="Wearables"/>
        <s v="Photography"/>
        <s v="Accessories"/>
        <s v="Audio"/>
        <s v="Phones"/>
        <s v="Computers"/>
      </sharedItems>
    </cacheField>
    <cacheField name="Quantity" numFmtId="0">
      <sharedItems containsSemiMixedTypes="0" containsString="0" containsNumber="1" containsInteger="1" minValue="1" maxValue="10"/>
    </cacheField>
    <cacheField name="Unit Price (EGP)" numFmtId="3">
      <sharedItems containsSemiMixedTypes="0" containsString="0" containsNumber="1" containsInteger="1" minValue="2300" maxValue="28700"/>
    </cacheField>
    <cacheField name="Total Sales (EGP)" numFmtId="3">
      <sharedItems containsSemiMixedTypes="0" containsString="0" containsNumber="1" containsInteger="1" minValue="2400" maxValue="279000"/>
    </cacheField>
    <cacheField name="Cost (EGP)" numFmtId="3">
      <sharedItems containsSemiMixedTypes="0" containsString="0" containsNumber="1" containsInteger="1" minValue="1080" maxValue="181350"/>
    </cacheField>
    <cacheField name="Profit (EGP)" numFmtId="3">
      <sharedItems containsSemiMixedTypes="0" containsString="0" containsNumber="1" containsInteger="1" minValue="1320" maxValue="97650"/>
    </cacheField>
    <cacheField name="Profit Margin %" numFmtId="165">
      <sharedItems containsSemiMixedTypes="0" containsString="0" containsNumber="1" minValue="0.35" maxValue="0.55000000000000004"/>
    </cacheField>
  </cacheFields>
  <extLst>
    <ext xmlns:x14="http://schemas.microsoft.com/office/spreadsheetml/2009/9/main" uri="{725AE2AE-9491-48be-B2B4-4EB974FC3084}">
      <x14:pivotCacheDefinition pivotCacheId="1151499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d v="2024-01-02T00:00:00"/>
    <x v="0"/>
    <x v="0"/>
    <s v="Khaled Mahmoud"/>
    <x v="0"/>
    <x v="0"/>
    <x v="0"/>
    <n v="3"/>
    <n v="5700"/>
    <n v="17100"/>
    <n v="9405"/>
    <n v="7695"/>
    <n v="0.45"/>
  </r>
  <r>
    <x v="1"/>
    <d v="2024-01-04T00:00:00"/>
    <x v="0"/>
    <x v="0"/>
    <s v="Nour Ibrahim"/>
    <x v="1"/>
    <x v="1"/>
    <x v="1"/>
    <n v="7"/>
    <n v="14600"/>
    <n v="102200"/>
    <n v="59276"/>
    <n v="42924"/>
    <n v="0.42"/>
  </r>
  <r>
    <x v="2"/>
    <d v="2024-01-04T00:00:00"/>
    <x v="0"/>
    <x v="0"/>
    <s v="Sara Ali"/>
    <x v="2"/>
    <x v="2"/>
    <x v="2"/>
    <n v="4"/>
    <n v="2400"/>
    <n v="9600"/>
    <n v="4320"/>
    <n v="5280"/>
    <n v="0.55000000000000004"/>
  </r>
  <r>
    <x v="3"/>
    <d v="2024-01-04T00:00:00"/>
    <x v="0"/>
    <x v="0"/>
    <s v="Ahmed Mohamed"/>
    <x v="3"/>
    <x v="3"/>
    <x v="3"/>
    <n v="4"/>
    <n v="3300"/>
    <n v="13200"/>
    <n v="6336"/>
    <n v="6864"/>
    <n v="0.52"/>
  </r>
  <r>
    <x v="4"/>
    <d v="2024-01-05T00:00:00"/>
    <x v="0"/>
    <x v="0"/>
    <s v="Dina Youssef"/>
    <x v="2"/>
    <x v="4"/>
    <x v="4"/>
    <n v="5"/>
    <n v="12100"/>
    <n v="60500"/>
    <n v="36300"/>
    <n v="24200"/>
    <n v="0.4"/>
  </r>
  <r>
    <x v="5"/>
    <d v="2024-01-06T00:00:00"/>
    <x v="0"/>
    <x v="0"/>
    <s v="Dina Youssef"/>
    <x v="1"/>
    <x v="4"/>
    <x v="4"/>
    <n v="9"/>
    <n v="11600"/>
    <n v="104400"/>
    <n v="62640"/>
    <n v="41760"/>
    <n v="0.4"/>
  </r>
  <r>
    <x v="6"/>
    <d v="2024-01-12T00:00:00"/>
    <x v="0"/>
    <x v="0"/>
    <s v="Dina Youssef"/>
    <x v="4"/>
    <x v="1"/>
    <x v="1"/>
    <n v="3"/>
    <n v="15900"/>
    <n v="47700"/>
    <n v="27666"/>
    <n v="20034"/>
    <n v="0.42"/>
  </r>
  <r>
    <x v="7"/>
    <d v="2024-01-15T00:00:00"/>
    <x v="0"/>
    <x v="0"/>
    <s v="Dina Youssef"/>
    <x v="4"/>
    <x v="3"/>
    <x v="3"/>
    <n v="7"/>
    <n v="3400"/>
    <n v="23800"/>
    <n v="11424"/>
    <n v="12376"/>
    <n v="0.52"/>
  </r>
  <r>
    <x v="8"/>
    <d v="2024-01-18T00:00:00"/>
    <x v="0"/>
    <x v="0"/>
    <s v="Sara Ali"/>
    <x v="3"/>
    <x v="5"/>
    <x v="5"/>
    <n v="1"/>
    <n v="9400"/>
    <n v="9400"/>
    <n v="5640"/>
    <n v="3760"/>
    <n v="0.4"/>
  </r>
  <r>
    <x v="9"/>
    <d v="2024-01-19T00:00:00"/>
    <x v="0"/>
    <x v="0"/>
    <s v="Dina Youssef"/>
    <x v="2"/>
    <x v="2"/>
    <x v="2"/>
    <n v="1"/>
    <n v="2400"/>
    <n v="2400"/>
    <n v="1080"/>
    <n v="1320"/>
    <n v="0.55000000000000004"/>
  </r>
  <r>
    <x v="10"/>
    <d v="2024-01-19T00:00:00"/>
    <x v="0"/>
    <x v="0"/>
    <s v="Dina Youssef"/>
    <x v="2"/>
    <x v="3"/>
    <x v="3"/>
    <n v="3"/>
    <n v="3800"/>
    <n v="11400"/>
    <n v="5472"/>
    <n v="5928"/>
    <n v="0.52"/>
  </r>
  <r>
    <x v="11"/>
    <d v="2024-01-20T00:00:00"/>
    <x v="0"/>
    <x v="0"/>
    <s v="Ahmed Mohamed"/>
    <x v="3"/>
    <x v="6"/>
    <x v="5"/>
    <n v="5"/>
    <n v="24800"/>
    <n v="124000"/>
    <n v="80600"/>
    <n v="43400"/>
    <n v="0.35"/>
  </r>
  <r>
    <x v="12"/>
    <d v="2024-01-20T00:00:00"/>
    <x v="0"/>
    <x v="0"/>
    <s v="Ahmed Mohamed"/>
    <x v="2"/>
    <x v="6"/>
    <x v="5"/>
    <n v="10"/>
    <n v="24400"/>
    <n v="244000"/>
    <n v="158600"/>
    <n v="85400"/>
    <n v="0.35"/>
  </r>
  <r>
    <x v="13"/>
    <d v="2024-01-21T00:00:00"/>
    <x v="0"/>
    <x v="0"/>
    <s v="Dina Youssef"/>
    <x v="0"/>
    <x v="1"/>
    <x v="1"/>
    <n v="4"/>
    <n v="14300"/>
    <n v="57200"/>
    <n v="33176"/>
    <n v="24024"/>
    <n v="0.42"/>
  </r>
  <r>
    <x v="14"/>
    <d v="2024-01-22T00:00:00"/>
    <x v="0"/>
    <x v="0"/>
    <s v="Omar Hassan"/>
    <x v="3"/>
    <x v="1"/>
    <x v="1"/>
    <n v="7"/>
    <n v="15800"/>
    <n v="110600"/>
    <n v="64148"/>
    <n v="46452"/>
    <n v="0.42"/>
  </r>
  <r>
    <x v="15"/>
    <d v="2024-01-23T00:00:00"/>
    <x v="0"/>
    <x v="0"/>
    <s v="Ahmed Mohamed"/>
    <x v="1"/>
    <x v="5"/>
    <x v="5"/>
    <n v="7"/>
    <n v="9300"/>
    <n v="65100"/>
    <n v="39060"/>
    <n v="26040"/>
    <n v="0.4"/>
  </r>
  <r>
    <x v="16"/>
    <d v="2024-01-23T00:00:00"/>
    <x v="0"/>
    <x v="0"/>
    <s v="Dina Youssef"/>
    <x v="3"/>
    <x v="3"/>
    <x v="3"/>
    <n v="9"/>
    <n v="3200"/>
    <n v="28800"/>
    <n v="13824"/>
    <n v="14976"/>
    <n v="0.52"/>
  </r>
  <r>
    <x v="17"/>
    <d v="2024-01-23T00:00:00"/>
    <x v="0"/>
    <x v="0"/>
    <s v="Sara Ali"/>
    <x v="0"/>
    <x v="3"/>
    <x v="3"/>
    <n v="9"/>
    <n v="3500"/>
    <n v="31500"/>
    <n v="15120"/>
    <n v="16380"/>
    <n v="0.52"/>
  </r>
  <r>
    <x v="18"/>
    <d v="2024-01-24T00:00:00"/>
    <x v="0"/>
    <x v="0"/>
    <s v="Ahmed Mohamed"/>
    <x v="5"/>
    <x v="2"/>
    <x v="2"/>
    <n v="10"/>
    <n v="2900"/>
    <n v="29000"/>
    <n v="13050"/>
    <n v="15950"/>
    <n v="0.55000000000000004"/>
  </r>
  <r>
    <x v="19"/>
    <d v="2024-01-24T00:00:00"/>
    <x v="0"/>
    <x v="0"/>
    <s v="Dina Youssef"/>
    <x v="5"/>
    <x v="6"/>
    <x v="5"/>
    <n v="3"/>
    <n v="26000"/>
    <n v="78000"/>
    <n v="50700"/>
    <n v="27300"/>
    <n v="0.35"/>
  </r>
  <r>
    <x v="20"/>
    <d v="2024-01-24T00:00:00"/>
    <x v="0"/>
    <x v="0"/>
    <s v="Khaled Mahmoud"/>
    <x v="1"/>
    <x v="4"/>
    <x v="4"/>
    <n v="5"/>
    <n v="12900"/>
    <n v="64500"/>
    <n v="38700"/>
    <n v="25800"/>
    <n v="0.4"/>
  </r>
  <r>
    <x v="21"/>
    <d v="2024-01-27T00:00:00"/>
    <x v="0"/>
    <x v="0"/>
    <s v="Ahmed Mohamed"/>
    <x v="3"/>
    <x v="7"/>
    <x v="5"/>
    <n v="9"/>
    <n v="8700"/>
    <n v="78300"/>
    <n v="48546"/>
    <n v="29754"/>
    <n v="0.38"/>
  </r>
  <r>
    <x v="22"/>
    <d v="2024-01-27T00:00:00"/>
    <x v="0"/>
    <x v="0"/>
    <s v="Ahmed Mohamed"/>
    <x v="3"/>
    <x v="7"/>
    <x v="5"/>
    <n v="10"/>
    <n v="7500"/>
    <n v="75000"/>
    <n v="46500"/>
    <n v="28500"/>
    <n v="0.38"/>
  </r>
  <r>
    <x v="23"/>
    <d v="2024-01-28T00:00:00"/>
    <x v="0"/>
    <x v="0"/>
    <s v="Omar Hassan"/>
    <x v="0"/>
    <x v="7"/>
    <x v="5"/>
    <n v="10"/>
    <n v="7500"/>
    <n v="75000"/>
    <n v="46500"/>
    <n v="28500"/>
    <n v="0.38"/>
  </r>
  <r>
    <x v="24"/>
    <d v="2024-01-28T00:00:00"/>
    <x v="0"/>
    <x v="0"/>
    <s v="Nour Ibrahim"/>
    <x v="3"/>
    <x v="2"/>
    <x v="2"/>
    <n v="10"/>
    <n v="2600"/>
    <n v="26000"/>
    <n v="11700"/>
    <n v="14300"/>
    <n v="0.55000000000000004"/>
  </r>
  <r>
    <x v="25"/>
    <d v="2024-01-28T00:00:00"/>
    <x v="0"/>
    <x v="0"/>
    <s v="Nour Ibrahim"/>
    <x v="0"/>
    <x v="3"/>
    <x v="3"/>
    <n v="4"/>
    <n v="3600"/>
    <n v="14400"/>
    <n v="6912"/>
    <n v="7488"/>
    <n v="0.52"/>
  </r>
  <r>
    <x v="26"/>
    <d v="2024-01-29T00:00:00"/>
    <x v="0"/>
    <x v="0"/>
    <s v="Nour Ibrahim"/>
    <x v="5"/>
    <x v="1"/>
    <x v="1"/>
    <n v="5"/>
    <n v="15400"/>
    <n v="77000"/>
    <n v="44660"/>
    <n v="32340"/>
    <n v="0.42"/>
  </r>
  <r>
    <x v="27"/>
    <d v="2024-01-29T00:00:00"/>
    <x v="0"/>
    <x v="0"/>
    <s v="Sara Ali"/>
    <x v="4"/>
    <x v="4"/>
    <x v="4"/>
    <n v="5"/>
    <n v="12400"/>
    <n v="62000"/>
    <n v="37200"/>
    <n v="24800"/>
    <n v="0.4"/>
  </r>
  <r>
    <x v="28"/>
    <d v="2024-01-30T00:00:00"/>
    <x v="0"/>
    <x v="0"/>
    <s v="Omar Hassan"/>
    <x v="1"/>
    <x v="4"/>
    <x v="4"/>
    <n v="7"/>
    <n v="12800"/>
    <n v="89600"/>
    <n v="53760"/>
    <n v="35840"/>
    <n v="0.4"/>
  </r>
  <r>
    <x v="29"/>
    <d v="2024-01-31T00:00:00"/>
    <x v="0"/>
    <x v="0"/>
    <s v="Omar Hassan"/>
    <x v="5"/>
    <x v="7"/>
    <x v="5"/>
    <n v="7"/>
    <n v="8000"/>
    <n v="56000"/>
    <n v="34720"/>
    <n v="21280"/>
    <n v="0.38"/>
  </r>
  <r>
    <x v="30"/>
    <d v="2024-02-01T00:00:00"/>
    <x v="1"/>
    <x v="0"/>
    <s v="Dina Youssef"/>
    <x v="0"/>
    <x v="5"/>
    <x v="5"/>
    <n v="6"/>
    <n v="8300"/>
    <n v="49800"/>
    <n v="29880"/>
    <n v="19920"/>
    <n v="0.4"/>
  </r>
  <r>
    <x v="31"/>
    <d v="2024-02-01T00:00:00"/>
    <x v="1"/>
    <x v="0"/>
    <s v="Nour Ibrahim"/>
    <x v="3"/>
    <x v="4"/>
    <x v="4"/>
    <n v="3"/>
    <n v="12200"/>
    <n v="36600"/>
    <n v="21960"/>
    <n v="14640"/>
    <n v="0.4"/>
  </r>
  <r>
    <x v="32"/>
    <d v="2024-02-02T00:00:00"/>
    <x v="1"/>
    <x v="0"/>
    <s v="Khaled Mahmoud"/>
    <x v="1"/>
    <x v="5"/>
    <x v="5"/>
    <n v="6"/>
    <n v="9100"/>
    <n v="54600"/>
    <n v="32760"/>
    <n v="21840"/>
    <n v="0.4"/>
  </r>
  <r>
    <x v="33"/>
    <d v="2024-02-03T00:00:00"/>
    <x v="1"/>
    <x v="0"/>
    <s v="Dina Youssef"/>
    <x v="3"/>
    <x v="3"/>
    <x v="3"/>
    <n v="10"/>
    <n v="3600"/>
    <n v="36000"/>
    <n v="17280"/>
    <n v="18720"/>
    <n v="0.52"/>
  </r>
  <r>
    <x v="34"/>
    <d v="2024-02-04T00:00:00"/>
    <x v="1"/>
    <x v="0"/>
    <s v="Nour Ibrahim"/>
    <x v="0"/>
    <x v="4"/>
    <x v="4"/>
    <n v="2"/>
    <n v="13300"/>
    <n v="26600"/>
    <n v="15960"/>
    <n v="10640"/>
    <n v="0.4"/>
  </r>
  <r>
    <x v="35"/>
    <d v="2024-02-04T00:00:00"/>
    <x v="1"/>
    <x v="0"/>
    <s v="Omar Hassan"/>
    <x v="1"/>
    <x v="5"/>
    <x v="5"/>
    <n v="5"/>
    <n v="9100"/>
    <n v="45500"/>
    <n v="27300"/>
    <n v="18200"/>
    <n v="0.4"/>
  </r>
  <r>
    <x v="36"/>
    <d v="2024-02-05T00:00:00"/>
    <x v="1"/>
    <x v="0"/>
    <s v="Nour Ibrahim"/>
    <x v="0"/>
    <x v="4"/>
    <x v="4"/>
    <n v="4"/>
    <n v="12800"/>
    <n v="51200"/>
    <n v="30720"/>
    <n v="20480"/>
    <n v="0.4"/>
  </r>
  <r>
    <x v="37"/>
    <d v="2024-02-05T00:00:00"/>
    <x v="1"/>
    <x v="0"/>
    <s v="Nour Ibrahim"/>
    <x v="0"/>
    <x v="1"/>
    <x v="1"/>
    <n v="7"/>
    <n v="13500"/>
    <n v="94500"/>
    <n v="54810"/>
    <n v="39690"/>
    <n v="0.42"/>
  </r>
  <r>
    <x v="38"/>
    <d v="2024-02-06T00:00:00"/>
    <x v="1"/>
    <x v="0"/>
    <s v="Khaled Mahmoud"/>
    <x v="3"/>
    <x v="6"/>
    <x v="5"/>
    <n v="5"/>
    <n v="23500"/>
    <n v="117500"/>
    <n v="76375"/>
    <n v="41125"/>
    <n v="0.35"/>
  </r>
  <r>
    <x v="39"/>
    <d v="2024-02-07T00:00:00"/>
    <x v="1"/>
    <x v="0"/>
    <s v="Ahmed Mohamed"/>
    <x v="4"/>
    <x v="4"/>
    <x v="4"/>
    <n v="3"/>
    <n v="11800"/>
    <n v="35400"/>
    <n v="21240"/>
    <n v="14160"/>
    <n v="0.4"/>
  </r>
  <r>
    <x v="40"/>
    <d v="2024-02-07T00:00:00"/>
    <x v="1"/>
    <x v="0"/>
    <s v="Nour Ibrahim"/>
    <x v="5"/>
    <x v="6"/>
    <x v="5"/>
    <n v="7"/>
    <n v="23500"/>
    <n v="164500"/>
    <n v="106925"/>
    <n v="57575"/>
    <n v="0.35"/>
  </r>
  <r>
    <x v="41"/>
    <d v="2024-02-08T00:00:00"/>
    <x v="1"/>
    <x v="0"/>
    <s v="Omar Hassan"/>
    <x v="1"/>
    <x v="5"/>
    <x v="5"/>
    <n v="5"/>
    <n v="9900"/>
    <n v="49500"/>
    <n v="29700"/>
    <n v="19800"/>
    <n v="0.4"/>
  </r>
  <r>
    <x v="42"/>
    <d v="2024-02-09T00:00:00"/>
    <x v="1"/>
    <x v="0"/>
    <s v="Omar Hassan"/>
    <x v="2"/>
    <x v="4"/>
    <x v="4"/>
    <n v="4"/>
    <n v="12400"/>
    <n v="49600"/>
    <n v="29760"/>
    <n v="19840"/>
    <n v="0.4"/>
  </r>
  <r>
    <x v="43"/>
    <d v="2024-02-10T00:00:00"/>
    <x v="1"/>
    <x v="0"/>
    <s v="Sara Ali"/>
    <x v="0"/>
    <x v="1"/>
    <x v="1"/>
    <n v="7"/>
    <n v="13700"/>
    <n v="95900"/>
    <n v="55622"/>
    <n v="40278"/>
    <n v="0.42"/>
  </r>
  <r>
    <x v="44"/>
    <d v="2024-02-11T00:00:00"/>
    <x v="1"/>
    <x v="0"/>
    <s v="Dina Youssef"/>
    <x v="4"/>
    <x v="7"/>
    <x v="5"/>
    <n v="7"/>
    <n v="7500"/>
    <n v="52500"/>
    <n v="32550"/>
    <n v="19950"/>
    <n v="0.38"/>
  </r>
  <r>
    <x v="45"/>
    <d v="2024-02-11T00:00:00"/>
    <x v="1"/>
    <x v="0"/>
    <s v="Nour Ibrahim"/>
    <x v="1"/>
    <x v="0"/>
    <x v="0"/>
    <n v="7"/>
    <n v="5100"/>
    <n v="35700"/>
    <n v="19635"/>
    <n v="16065"/>
    <n v="0.45"/>
  </r>
  <r>
    <x v="46"/>
    <d v="2024-02-11T00:00:00"/>
    <x v="1"/>
    <x v="0"/>
    <s v="Dina Youssef"/>
    <x v="3"/>
    <x v="7"/>
    <x v="5"/>
    <n v="5"/>
    <n v="9000"/>
    <n v="45000"/>
    <n v="27900"/>
    <n v="17100"/>
    <n v="0.38"/>
  </r>
  <r>
    <x v="47"/>
    <d v="2024-02-11T00:00:00"/>
    <x v="1"/>
    <x v="0"/>
    <s v="Nour Ibrahim"/>
    <x v="1"/>
    <x v="6"/>
    <x v="5"/>
    <n v="7"/>
    <n v="23100"/>
    <n v="161700"/>
    <n v="105105"/>
    <n v="56595"/>
    <n v="0.35"/>
  </r>
  <r>
    <x v="48"/>
    <d v="2024-02-12T00:00:00"/>
    <x v="1"/>
    <x v="0"/>
    <s v="Sara Ali"/>
    <x v="5"/>
    <x v="7"/>
    <x v="5"/>
    <n v="9"/>
    <n v="7700"/>
    <n v="69300"/>
    <n v="42966"/>
    <n v="26334"/>
    <n v="0.38"/>
  </r>
  <r>
    <x v="49"/>
    <d v="2024-02-14T00:00:00"/>
    <x v="1"/>
    <x v="0"/>
    <s v="Khaled Mahmoud"/>
    <x v="5"/>
    <x v="4"/>
    <x v="4"/>
    <n v="8"/>
    <n v="11700"/>
    <n v="93600"/>
    <n v="56160"/>
    <n v="37440"/>
    <n v="0.4"/>
  </r>
  <r>
    <x v="50"/>
    <d v="2024-02-16T00:00:00"/>
    <x v="1"/>
    <x v="0"/>
    <s v="Nour Ibrahim"/>
    <x v="4"/>
    <x v="3"/>
    <x v="3"/>
    <n v="2"/>
    <n v="4000"/>
    <n v="8000"/>
    <n v="3840"/>
    <n v="4160"/>
    <n v="0.52"/>
  </r>
  <r>
    <x v="51"/>
    <d v="2024-02-16T00:00:00"/>
    <x v="1"/>
    <x v="0"/>
    <s v="Ahmed Mohamed"/>
    <x v="0"/>
    <x v="2"/>
    <x v="2"/>
    <n v="10"/>
    <n v="2700"/>
    <n v="27000"/>
    <n v="12150"/>
    <n v="14850"/>
    <n v="0.55000000000000004"/>
  </r>
  <r>
    <x v="52"/>
    <d v="2024-02-16T00:00:00"/>
    <x v="1"/>
    <x v="0"/>
    <s v="Dina Youssef"/>
    <x v="0"/>
    <x v="3"/>
    <x v="3"/>
    <n v="9"/>
    <n v="3600"/>
    <n v="32400"/>
    <n v="15552"/>
    <n v="16848"/>
    <n v="0.52"/>
  </r>
  <r>
    <x v="53"/>
    <d v="2024-02-16T00:00:00"/>
    <x v="1"/>
    <x v="0"/>
    <s v="Ahmed Mohamed"/>
    <x v="5"/>
    <x v="2"/>
    <x v="2"/>
    <n v="6"/>
    <n v="2800"/>
    <n v="16800"/>
    <n v="7560"/>
    <n v="9240"/>
    <n v="0.55000000000000004"/>
  </r>
  <r>
    <x v="54"/>
    <d v="2024-02-16T00:00:00"/>
    <x v="1"/>
    <x v="0"/>
    <s v="Omar Hassan"/>
    <x v="2"/>
    <x v="6"/>
    <x v="5"/>
    <n v="8"/>
    <n v="28400"/>
    <n v="227200"/>
    <n v="147680"/>
    <n v="79520"/>
    <n v="0.35"/>
  </r>
  <r>
    <x v="55"/>
    <d v="2024-02-17T00:00:00"/>
    <x v="1"/>
    <x v="0"/>
    <s v="Khaled Mahmoud"/>
    <x v="2"/>
    <x v="3"/>
    <x v="3"/>
    <n v="6"/>
    <n v="3200"/>
    <n v="19200"/>
    <n v="9216"/>
    <n v="9984"/>
    <n v="0.52"/>
  </r>
  <r>
    <x v="56"/>
    <d v="2024-02-17T00:00:00"/>
    <x v="1"/>
    <x v="0"/>
    <s v="Omar Hassan"/>
    <x v="5"/>
    <x v="1"/>
    <x v="1"/>
    <n v="1"/>
    <n v="16700"/>
    <n v="16700"/>
    <n v="9686"/>
    <n v="7014"/>
    <n v="0.42"/>
  </r>
  <r>
    <x v="57"/>
    <d v="2024-02-18T00:00:00"/>
    <x v="1"/>
    <x v="0"/>
    <s v="Nour Ibrahim"/>
    <x v="5"/>
    <x v="4"/>
    <x v="4"/>
    <n v="6"/>
    <n v="12800"/>
    <n v="76800"/>
    <n v="46080"/>
    <n v="30720"/>
    <n v="0.4"/>
  </r>
  <r>
    <x v="58"/>
    <d v="2024-02-18T00:00:00"/>
    <x v="1"/>
    <x v="0"/>
    <s v="Sara Ali"/>
    <x v="2"/>
    <x v="3"/>
    <x v="3"/>
    <n v="10"/>
    <n v="3400"/>
    <n v="34000"/>
    <n v="16320"/>
    <n v="17680"/>
    <n v="0.52"/>
  </r>
  <r>
    <x v="59"/>
    <d v="2024-02-19T00:00:00"/>
    <x v="1"/>
    <x v="0"/>
    <s v="Khaled Mahmoud"/>
    <x v="2"/>
    <x v="7"/>
    <x v="5"/>
    <n v="10"/>
    <n v="7700"/>
    <n v="77000"/>
    <n v="47740"/>
    <n v="29260"/>
    <n v="0.38"/>
  </r>
  <r>
    <x v="60"/>
    <d v="2024-02-20T00:00:00"/>
    <x v="1"/>
    <x v="0"/>
    <s v="Dina Youssef"/>
    <x v="0"/>
    <x v="2"/>
    <x v="2"/>
    <n v="5"/>
    <n v="2600"/>
    <n v="13000"/>
    <n v="5850"/>
    <n v="7150"/>
    <n v="0.55000000000000004"/>
  </r>
  <r>
    <x v="61"/>
    <d v="2024-02-21T00:00:00"/>
    <x v="1"/>
    <x v="0"/>
    <s v="Sara Ali"/>
    <x v="5"/>
    <x v="7"/>
    <x v="5"/>
    <n v="9"/>
    <n v="7200"/>
    <n v="64800"/>
    <n v="40176"/>
    <n v="24624"/>
    <n v="0.38"/>
  </r>
  <r>
    <x v="62"/>
    <d v="2024-02-22T00:00:00"/>
    <x v="1"/>
    <x v="0"/>
    <s v="Nour Ibrahim"/>
    <x v="5"/>
    <x v="6"/>
    <x v="5"/>
    <n v="8"/>
    <n v="26100"/>
    <n v="208800"/>
    <n v="135720"/>
    <n v="73080"/>
    <n v="0.35"/>
  </r>
  <r>
    <x v="63"/>
    <d v="2024-02-22T00:00:00"/>
    <x v="1"/>
    <x v="0"/>
    <s v="Nour Ibrahim"/>
    <x v="1"/>
    <x v="7"/>
    <x v="5"/>
    <n v="7"/>
    <n v="7400"/>
    <n v="51800"/>
    <n v="32116"/>
    <n v="19684"/>
    <n v="0.38"/>
  </r>
  <r>
    <x v="64"/>
    <d v="2024-02-23T00:00:00"/>
    <x v="1"/>
    <x v="0"/>
    <s v="Dina Youssef"/>
    <x v="1"/>
    <x v="7"/>
    <x v="5"/>
    <n v="2"/>
    <n v="7700"/>
    <n v="15400"/>
    <n v="9548"/>
    <n v="5852"/>
    <n v="0.38"/>
  </r>
  <r>
    <x v="65"/>
    <d v="2024-02-24T00:00:00"/>
    <x v="1"/>
    <x v="0"/>
    <s v="Khaled Mahmoud"/>
    <x v="0"/>
    <x v="2"/>
    <x v="2"/>
    <n v="7"/>
    <n v="2500"/>
    <n v="17500"/>
    <n v="7875"/>
    <n v="9625"/>
    <n v="0.55000000000000004"/>
  </r>
  <r>
    <x v="66"/>
    <d v="2024-02-24T00:00:00"/>
    <x v="1"/>
    <x v="0"/>
    <s v="Omar Hassan"/>
    <x v="5"/>
    <x v="1"/>
    <x v="1"/>
    <n v="2"/>
    <n v="14400"/>
    <n v="28800"/>
    <n v="16704"/>
    <n v="12096"/>
    <n v="0.42"/>
  </r>
  <r>
    <x v="67"/>
    <d v="2024-02-25T00:00:00"/>
    <x v="1"/>
    <x v="0"/>
    <s v="Ahmed Mohamed"/>
    <x v="3"/>
    <x v="5"/>
    <x v="5"/>
    <n v="10"/>
    <n v="9200"/>
    <n v="92000"/>
    <n v="55200"/>
    <n v="36800"/>
    <n v="0.4"/>
  </r>
  <r>
    <x v="68"/>
    <d v="2024-02-26T00:00:00"/>
    <x v="1"/>
    <x v="0"/>
    <s v="Dina Youssef"/>
    <x v="1"/>
    <x v="5"/>
    <x v="5"/>
    <n v="1"/>
    <n v="9400"/>
    <n v="9400"/>
    <n v="5640"/>
    <n v="3760"/>
    <n v="0.4"/>
  </r>
  <r>
    <x v="69"/>
    <d v="2024-02-28T00:00:00"/>
    <x v="1"/>
    <x v="0"/>
    <s v="Khaled Mahmoud"/>
    <x v="0"/>
    <x v="7"/>
    <x v="5"/>
    <n v="2"/>
    <n v="9100"/>
    <n v="18200"/>
    <n v="11284"/>
    <n v="6916"/>
    <n v="0.38"/>
  </r>
  <r>
    <x v="70"/>
    <d v="2024-02-28T00:00:00"/>
    <x v="1"/>
    <x v="0"/>
    <s v="Khaled Mahmoud"/>
    <x v="4"/>
    <x v="1"/>
    <x v="1"/>
    <n v="8"/>
    <n v="14800"/>
    <n v="118400"/>
    <n v="68672"/>
    <n v="49728"/>
    <n v="0.42"/>
  </r>
  <r>
    <x v="71"/>
    <d v="2024-02-29T00:00:00"/>
    <x v="1"/>
    <x v="0"/>
    <s v="Ahmed Mohamed"/>
    <x v="0"/>
    <x v="0"/>
    <x v="0"/>
    <n v="5"/>
    <n v="4700"/>
    <n v="23500"/>
    <n v="12925"/>
    <n v="10575"/>
    <n v="0.45"/>
  </r>
  <r>
    <x v="72"/>
    <d v="2024-03-01T00:00:00"/>
    <x v="2"/>
    <x v="0"/>
    <s v="Omar Hassan"/>
    <x v="2"/>
    <x v="7"/>
    <x v="5"/>
    <n v="7"/>
    <n v="9200"/>
    <n v="64400"/>
    <n v="39928"/>
    <n v="24472"/>
    <n v="0.38"/>
  </r>
  <r>
    <x v="73"/>
    <d v="2024-03-02T00:00:00"/>
    <x v="2"/>
    <x v="0"/>
    <s v="Dina Youssef"/>
    <x v="2"/>
    <x v="6"/>
    <x v="5"/>
    <n v="7"/>
    <n v="24700"/>
    <n v="172900"/>
    <n v="112385"/>
    <n v="60515"/>
    <n v="0.35"/>
  </r>
  <r>
    <x v="74"/>
    <d v="2024-03-03T00:00:00"/>
    <x v="2"/>
    <x v="0"/>
    <s v="Nour Ibrahim"/>
    <x v="0"/>
    <x v="6"/>
    <x v="5"/>
    <n v="10"/>
    <n v="24000"/>
    <n v="240000"/>
    <n v="156000"/>
    <n v="84000"/>
    <n v="0.35"/>
  </r>
  <r>
    <x v="75"/>
    <d v="2024-03-06T00:00:00"/>
    <x v="2"/>
    <x v="0"/>
    <s v="Omar Hassan"/>
    <x v="5"/>
    <x v="2"/>
    <x v="2"/>
    <n v="1"/>
    <n v="2800"/>
    <n v="2800"/>
    <n v="1260"/>
    <n v="1540"/>
    <n v="0.55000000000000004"/>
  </r>
  <r>
    <x v="76"/>
    <d v="2024-03-07T00:00:00"/>
    <x v="2"/>
    <x v="0"/>
    <s v="Khaled Mahmoud"/>
    <x v="3"/>
    <x v="0"/>
    <x v="0"/>
    <n v="8"/>
    <n v="4700"/>
    <n v="37600"/>
    <n v="20680"/>
    <n v="16920"/>
    <n v="0.45"/>
  </r>
  <r>
    <x v="77"/>
    <d v="2024-03-08T00:00:00"/>
    <x v="2"/>
    <x v="0"/>
    <s v="Nour Ibrahim"/>
    <x v="4"/>
    <x v="5"/>
    <x v="5"/>
    <n v="8"/>
    <n v="8600"/>
    <n v="68800"/>
    <n v="41280"/>
    <n v="27520"/>
    <n v="0.4"/>
  </r>
  <r>
    <x v="78"/>
    <d v="2024-03-08T00:00:00"/>
    <x v="2"/>
    <x v="0"/>
    <s v="Omar Hassan"/>
    <x v="2"/>
    <x v="1"/>
    <x v="1"/>
    <n v="4"/>
    <n v="16800"/>
    <n v="67200"/>
    <n v="38976"/>
    <n v="28224"/>
    <n v="0.42"/>
  </r>
  <r>
    <x v="79"/>
    <d v="2024-03-08T00:00:00"/>
    <x v="2"/>
    <x v="0"/>
    <s v="Khaled Mahmoud"/>
    <x v="5"/>
    <x v="3"/>
    <x v="3"/>
    <n v="1"/>
    <n v="3500"/>
    <n v="3500"/>
    <n v="1680"/>
    <n v="1820"/>
    <n v="0.52"/>
  </r>
  <r>
    <x v="80"/>
    <d v="2024-03-09T00:00:00"/>
    <x v="2"/>
    <x v="0"/>
    <s v="Omar Hassan"/>
    <x v="4"/>
    <x v="5"/>
    <x v="5"/>
    <n v="2"/>
    <n v="8700"/>
    <n v="17400"/>
    <n v="10440"/>
    <n v="6960"/>
    <n v="0.4"/>
  </r>
  <r>
    <x v="81"/>
    <d v="2024-03-09T00:00:00"/>
    <x v="2"/>
    <x v="0"/>
    <s v="Ahmed Mohamed"/>
    <x v="4"/>
    <x v="1"/>
    <x v="1"/>
    <n v="5"/>
    <n v="13900"/>
    <n v="69500"/>
    <n v="40310"/>
    <n v="29190"/>
    <n v="0.42"/>
  </r>
  <r>
    <x v="82"/>
    <d v="2024-03-10T00:00:00"/>
    <x v="2"/>
    <x v="0"/>
    <s v="Ahmed Mohamed"/>
    <x v="2"/>
    <x v="4"/>
    <x v="4"/>
    <n v="8"/>
    <n v="12900"/>
    <n v="103200"/>
    <n v="61920"/>
    <n v="41280"/>
    <n v="0.4"/>
  </r>
  <r>
    <x v="83"/>
    <d v="2024-03-10T00:00:00"/>
    <x v="2"/>
    <x v="0"/>
    <s v="Omar Hassan"/>
    <x v="1"/>
    <x v="0"/>
    <x v="0"/>
    <n v="7"/>
    <n v="4500"/>
    <n v="31500"/>
    <n v="17325"/>
    <n v="14175"/>
    <n v="0.45"/>
  </r>
  <r>
    <x v="84"/>
    <d v="2024-03-10T00:00:00"/>
    <x v="2"/>
    <x v="0"/>
    <s v="Nour Ibrahim"/>
    <x v="2"/>
    <x v="0"/>
    <x v="0"/>
    <n v="4"/>
    <n v="4900"/>
    <n v="19600"/>
    <n v="10780"/>
    <n v="8820"/>
    <n v="0.45"/>
  </r>
  <r>
    <x v="85"/>
    <d v="2024-03-11T00:00:00"/>
    <x v="2"/>
    <x v="0"/>
    <s v="Ahmed Mohamed"/>
    <x v="4"/>
    <x v="5"/>
    <x v="5"/>
    <n v="1"/>
    <n v="8300"/>
    <n v="8300"/>
    <n v="4980"/>
    <n v="3320"/>
    <n v="0.4"/>
  </r>
  <r>
    <x v="86"/>
    <d v="2024-03-11T00:00:00"/>
    <x v="2"/>
    <x v="0"/>
    <s v="Khaled Mahmoud"/>
    <x v="1"/>
    <x v="7"/>
    <x v="5"/>
    <n v="2"/>
    <n v="7400"/>
    <n v="14800"/>
    <n v="9176"/>
    <n v="5624"/>
    <n v="0.38"/>
  </r>
  <r>
    <x v="87"/>
    <d v="2024-03-12T00:00:00"/>
    <x v="2"/>
    <x v="0"/>
    <s v="Ahmed Mohamed"/>
    <x v="1"/>
    <x v="4"/>
    <x v="4"/>
    <n v="9"/>
    <n v="12800"/>
    <n v="115200"/>
    <n v="69120"/>
    <n v="46080"/>
    <n v="0.4"/>
  </r>
  <r>
    <x v="88"/>
    <d v="2024-03-12T00:00:00"/>
    <x v="2"/>
    <x v="0"/>
    <s v="Sara Ali"/>
    <x v="0"/>
    <x v="3"/>
    <x v="3"/>
    <n v="8"/>
    <n v="3300"/>
    <n v="26400"/>
    <n v="12672"/>
    <n v="13728"/>
    <n v="0.52"/>
  </r>
  <r>
    <x v="89"/>
    <d v="2024-03-12T00:00:00"/>
    <x v="2"/>
    <x v="0"/>
    <s v="Ahmed Mohamed"/>
    <x v="0"/>
    <x v="5"/>
    <x v="5"/>
    <n v="1"/>
    <n v="9100"/>
    <n v="9100"/>
    <n v="5460"/>
    <n v="3640"/>
    <n v="0.4"/>
  </r>
  <r>
    <x v="90"/>
    <d v="2024-03-12T00:00:00"/>
    <x v="2"/>
    <x v="0"/>
    <s v="Omar Hassan"/>
    <x v="1"/>
    <x v="0"/>
    <x v="0"/>
    <n v="10"/>
    <n v="4800"/>
    <n v="48000"/>
    <n v="26400"/>
    <n v="21600"/>
    <n v="0.45"/>
  </r>
  <r>
    <x v="91"/>
    <d v="2024-03-13T00:00:00"/>
    <x v="2"/>
    <x v="0"/>
    <s v="Sara Ali"/>
    <x v="1"/>
    <x v="1"/>
    <x v="1"/>
    <n v="8"/>
    <n v="14700"/>
    <n v="117600"/>
    <n v="68208"/>
    <n v="49392"/>
    <n v="0.42"/>
  </r>
  <r>
    <x v="92"/>
    <d v="2024-03-14T00:00:00"/>
    <x v="2"/>
    <x v="0"/>
    <s v="Khaled Mahmoud"/>
    <x v="2"/>
    <x v="0"/>
    <x v="0"/>
    <n v="9"/>
    <n v="4700"/>
    <n v="42300"/>
    <n v="23265"/>
    <n v="19035"/>
    <n v="0.45"/>
  </r>
  <r>
    <x v="93"/>
    <d v="2024-03-14T00:00:00"/>
    <x v="2"/>
    <x v="0"/>
    <s v="Ahmed Mohamed"/>
    <x v="3"/>
    <x v="3"/>
    <x v="3"/>
    <n v="1"/>
    <n v="3200"/>
    <n v="3200"/>
    <n v="1536"/>
    <n v="1664"/>
    <n v="0.52"/>
  </r>
  <r>
    <x v="94"/>
    <d v="2024-03-15T00:00:00"/>
    <x v="2"/>
    <x v="0"/>
    <s v="Khaled Mahmoud"/>
    <x v="3"/>
    <x v="6"/>
    <x v="5"/>
    <n v="10"/>
    <n v="24100"/>
    <n v="241000"/>
    <n v="156650"/>
    <n v="84350"/>
    <n v="0.35"/>
  </r>
  <r>
    <x v="95"/>
    <d v="2024-03-18T00:00:00"/>
    <x v="2"/>
    <x v="0"/>
    <s v="Khaled Mahmoud"/>
    <x v="1"/>
    <x v="3"/>
    <x v="3"/>
    <n v="7"/>
    <n v="3800"/>
    <n v="26600"/>
    <n v="12768"/>
    <n v="13832"/>
    <n v="0.52"/>
  </r>
  <r>
    <x v="96"/>
    <d v="2024-03-18T00:00:00"/>
    <x v="2"/>
    <x v="0"/>
    <s v="Omar Hassan"/>
    <x v="0"/>
    <x v="6"/>
    <x v="5"/>
    <n v="8"/>
    <n v="23900"/>
    <n v="191200"/>
    <n v="124280"/>
    <n v="66920"/>
    <n v="0.35"/>
  </r>
  <r>
    <x v="97"/>
    <d v="2024-03-19T00:00:00"/>
    <x v="2"/>
    <x v="0"/>
    <s v="Khaled Mahmoud"/>
    <x v="0"/>
    <x v="1"/>
    <x v="1"/>
    <n v="9"/>
    <n v="16400"/>
    <n v="147600"/>
    <n v="85608"/>
    <n v="61992"/>
    <n v="0.42"/>
  </r>
  <r>
    <x v="98"/>
    <d v="2024-03-20T00:00:00"/>
    <x v="2"/>
    <x v="0"/>
    <s v="Dina Youssef"/>
    <x v="2"/>
    <x v="0"/>
    <x v="0"/>
    <n v="4"/>
    <n v="4900"/>
    <n v="19600"/>
    <n v="10780"/>
    <n v="8820"/>
    <n v="0.45"/>
  </r>
  <r>
    <x v="99"/>
    <d v="2024-03-20T00:00:00"/>
    <x v="2"/>
    <x v="0"/>
    <s v="Khaled Mahmoud"/>
    <x v="5"/>
    <x v="3"/>
    <x v="3"/>
    <n v="8"/>
    <n v="3700"/>
    <n v="29600"/>
    <n v="14208"/>
    <n v="15392"/>
    <n v="0.52"/>
  </r>
  <r>
    <x v="100"/>
    <d v="2024-03-20T00:00:00"/>
    <x v="2"/>
    <x v="0"/>
    <s v="Omar Hassan"/>
    <x v="1"/>
    <x v="5"/>
    <x v="5"/>
    <n v="2"/>
    <n v="8600"/>
    <n v="17200"/>
    <n v="10320"/>
    <n v="6880"/>
    <n v="0.4"/>
  </r>
  <r>
    <x v="101"/>
    <d v="2024-03-21T00:00:00"/>
    <x v="2"/>
    <x v="0"/>
    <s v="Khaled Mahmoud"/>
    <x v="3"/>
    <x v="5"/>
    <x v="5"/>
    <n v="5"/>
    <n v="10000"/>
    <n v="50000"/>
    <n v="30000"/>
    <n v="20000"/>
    <n v="0.4"/>
  </r>
  <r>
    <x v="102"/>
    <d v="2024-03-21T00:00:00"/>
    <x v="2"/>
    <x v="0"/>
    <s v="Sara Ali"/>
    <x v="0"/>
    <x v="2"/>
    <x v="2"/>
    <n v="2"/>
    <n v="2400"/>
    <n v="4800"/>
    <n v="2160"/>
    <n v="2640"/>
    <n v="0.55000000000000004"/>
  </r>
  <r>
    <x v="103"/>
    <d v="2024-03-22T00:00:00"/>
    <x v="2"/>
    <x v="0"/>
    <s v="Nour Ibrahim"/>
    <x v="0"/>
    <x v="0"/>
    <x v="0"/>
    <n v="9"/>
    <n v="5200"/>
    <n v="46800"/>
    <n v="25740"/>
    <n v="21060"/>
    <n v="0.45"/>
  </r>
  <r>
    <x v="104"/>
    <d v="2024-03-24T00:00:00"/>
    <x v="2"/>
    <x v="0"/>
    <s v="Dina Youssef"/>
    <x v="1"/>
    <x v="2"/>
    <x v="2"/>
    <n v="7"/>
    <n v="2600"/>
    <n v="18200"/>
    <n v="8190"/>
    <n v="10010"/>
    <n v="0.55000000000000004"/>
  </r>
  <r>
    <x v="105"/>
    <d v="2024-03-27T00:00:00"/>
    <x v="2"/>
    <x v="0"/>
    <s v="Omar Hassan"/>
    <x v="0"/>
    <x v="4"/>
    <x v="4"/>
    <n v="10"/>
    <n v="11700"/>
    <n v="117000"/>
    <n v="70200"/>
    <n v="46800"/>
    <n v="0.4"/>
  </r>
  <r>
    <x v="106"/>
    <d v="2024-03-27T00:00:00"/>
    <x v="2"/>
    <x v="0"/>
    <s v="Dina Youssef"/>
    <x v="1"/>
    <x v="7"/>
    <x v="5"/>
    <n v="10"/>
    <n v="7500"/>
    <n v="75000"/>
    <n v="46500"/>
    <n v="28500"/>
    <n v="0.38"/>
  </r>
  <r>
    <x v="107"/>
    <d v="2024-03-28T00:00:00"/>
    <x v="2"/>
    <x v="0"/>
    <s v="Omar Hassan"/>
    <x v="3"/>
    <x v="2"/>
    <x v="2"/>
    <n v="7"/>
    <n v="2400"/>
    <n v="16800"/>
    <n v="7560"/>
    <n v="9240"/>
    <n v="0.55000000000000004"/>
  </r>
  <r>
    <x v="108"/>
    <d v="2024-03-28T00:00:00"/>
    <x v="2"/>
    <x v="0"/>
    <s v="Ahmed Mohamed"/>
    <x v="5"/>
    <x v="5"/>
    <x v="5"/>
    <n v="6"/>
    <n v="10000"/>
    <n v="60000"/>
    <n v="36000"/>
    <n v="24000"/>
    <n v="0.4"/>
  </r>
  <r>
    <x v="109"/>
    <d v="2024-03-29T00:00:00"/>
    <x v="2"/>
    <x v="0"/>
    <s v="Sara Ali"/>
    <x v="3"/>
    <x v="7"/>
    <x v="5"/>
    <n v="2"/>
    <n v="8700"/>
    <n v="17400"/>
    <n v="10788"/>
    <n v="6612"/>
    <n v="0.38"/>
  </r>
  <r>
    <x v="110"/>
    <d v="2024-03-30T00:00:00"/>
    <x v="2"/>
    <x v="0"/>
    <s v="Omar Hassan"/>
    <x v="2"/>
    <x v="0"/>
    <x v="0"/>
    <n v="1"/>
    <n v="5000"/>
    <n v="5000"/>
    <n v="2750"/>
    <n v="2250"/>
    <n v="0.45"/>
  </r>
  <r>
    <x v="111"/>
    <d v="2024-03-30T00:00:00"/>
    <x v="2"/>
    <x v="0"/>
    <s v="Omar Hassan"/>
    <x v="4"/>
    <x v="5"/>
    <x v="5"/>
    <n v="8"/>
    <n v="9300"/>
    <n v="74400"/>
    <n v="44640"/>
    <n v="29760"/>
    <n v="0.4"/>
  </r>
  <r>
    <x v="112"/>
    <d v="2024-03-30T00:00:00"/>
    <x v="2"/>
    <x v="0"/>
    <s v="Khaled Mahmoud"/>
    <x v="1"/>
    <x v="7"/>
    <x v="5"/>
    <n v="4"/>
    <n v="8000"/>
    <n v="32000"/>
    <n v="19840"/>
    <n v="12160"/>
    <n v="0.38"/>
  </r>
  <r>
    <x v="113"/>
    <d v="2024-03-30T00:00:00"/>
    <x v="2"/>
    <x v="0"/>
    <s v="Dina Youssef"/>
    <x v="4"/>
    <x v="5"/>
    <x v="5"/>
    <n v="8"/>
    <n v="10300"/>
    <n v="82400"/>
    <n v="49440"/>
    <n v="32960"/>
    <n v="0.4"/>
  </r>
  <r>
    <x v="114"/>
    <d v="2024-03-30T00:00:00"/>
    <x v="2"/>
    <x v="0"/>
    <s v="Omar Hassan"/>
    <x v="3"/>
    <x v="3"/>
    <x v="3"/>
    <n v="1"/>
    <n v="3600"/>
    <n v="3600"/>
    <n v="1728"/>
    <n v="1872"/>
    <n v="0.52"/>
  </r>
  <r>
    <x v="115"/>
    <d v="2024-03-31T00:00:00"/>
    <x v="2"/>
    <x v="0"/>
    <s v="Nour Ibrahim"/>
    <x v="3"/>
    <x v="3"/>
    <x v="3"/>
    <n v="6"/>
    <n v="3200"/>
    <n v="19200"/>
    <n v="9216"/>
    <n v="9984"/>
    <n v="0.52"/>
  </r>
  <r>
    <x v="116"/>
    <d v="2024-03-31T00:00:00"/>
    <x v="2"/>
    <x v="0"/>
    <s v="Dina Youssef"/>
    <x v="3"/>
    <x v="3"/>
    <x v="3"/>
    <n v="5"/>
    <n v="4000"/>
    <n v="20000"/>
    <n v="9600"/>
    <n v="10400"/>
    <n v="0.52"/>
  </r>
  <r>
    <x v="117"/>
    <d v="2024-04-02T00:00:00"/>
    <x v="3"/>
    <x v="1"/>
    <s v="Sara Ali"/>
    <x v="4"/>
    <x v="2"/>
    <x v="2"/>
    <n v="8"/>
    <n v="2500"/>
    <n v="20000"/>
    <n v="9000"/>
    <n v="11000"/>
    <n v="0.55000000000000004"/>
  </r>
  <r>
    <x v="118"/>
    <d v="2024-04-03T00:00:00"/>
    <x v="3"/>
    <x v="1"/>
    <s v="Sara Ali"/>
    <x v="5"/>
    <x v="6"/>
    <x v="5"/>
    <n v="6"/>
    <n v="24100"/>
    <n v="144600"/>
    <n v="93990"/>
    <n v="50610"/>
    <n v="0.35"/>
  </r>
  <r>
    <x v="119"/>
    <d v="2024-04-08T00:00:00"/>
    <x v="3"/>
    <x v="1"/>
    <s v="Sara Ali"/>
    <x v="2"/>
    <x v="2"/>
    <x v="2"/>
    <n v="5"/>
    <n v="2400"/>
    <n v="12000"/>
    <n v="5400"/>
    <n v="6600"/>
    <n v="0.55000000000000004"/>
  </r>
  <r>
    <x v="120"/>
    <d v="2024-04-09T00:00:00"/>
    <x v="3"/>
    <x v="1"/>
    <s v="Nour Ibrahim"/>
    <x v="5"/>
    <x v="1"/>
    <x v="1"/>
    <n v="10"/>
    <n v="16000"/>
    <n v="160000"/>
    <n v="92800"/>
    <n v="67200"/>
    <n v="0.42"/>
  </r>
  <r>
    <x v="121"/>
    <d v="2024-04-09T00:00:00"/>
    <x v="3"/>
    <x v="1"/>
    <s v="Nour Ibrahim"/>
    <x v="1"/>
    <x v="1"/>
    <x v="1"/>
    <n v="2"/>
    <n v="15600"/>
    <n v="31200"/>
    <n v="18096"/>
    <n v="13104"/>
    <n v="0.42"/>
  </r>
  <r>
    <x v="122"/>
    <d v="2024-04-12T00:00:00"/>
    <x v="3"/>
    <x v="1"/>
    <s v="Nour Ibrahim"/>
    <x v="1"/>
    <x v="0"/>
    <x v="0"/>
    <n v="6"/>
    <n v="5000"/>
    <n v="30000"/>
    <n v="16500"/>
    <n v="13500"/>
    <n v="0.45"/>
  </r>
  <r>
    <x v="123"/>
    <d v="2024-04-12T00:00:00"/>
    <x v="3"/>
    <x v="1"/>
    <s v="Sara Ali"/>
    <x v="5"/>
    <x v="6"/>
    <x v="5"/>
    <n v="4"/>
    <n v="26400"/>
    <n v="105600"/>
    <n v="68640"/>
    <n v="36960"/>
    <n v="0.35"/>
  </r>
  <r>
    <x v="124"/>
    <d v="2024-04-12T00:00:00"/>
    <x v="3"/>
    <x v="1"/>
    <s v="Ahmed Mohamed"/>
    <x v="2"/>
    <x v="7"/>
    <x v="5"/>
    <n v="8"/>
    <n v="7700"/>
    <n v="61600"/>
    <n v="38192"/>
    <n v="23408"/>
    <n v="0.38"/>
  </r>
  <r>
    <x v="125"/>
    <d v="2024-04-13T00:00:00"/>
    <x v="3"/>
    <x v="1"/>
    <s v="Omar Hassan"/>
    <x v="2"/>
    <x v="6"/>
    <x v="5"/>
    <n v="1"/>
    <n v="27400"/>
    <n v="27400"/>
    <n v="17810"/>
    <n v="9590"/>
    <n v="0.35"/>
  </r>
  <r>
    <x v="126"/>
    <d v="2024-04-14T00:00:00"/>
    <x v="3"/>
    <x v="1"/>
    <s v="Ahmed Mohamed"/>
    <x v="0"/>
    <x v="0"/>
    <x v="0"/>
    <n v="5"/>
    <n v="5100"/>
    <n v="25500"/>
    <n v="14025"/>
    <n v="11475"/>
    <n v="0.45"/>
  </r>
  <r>
    <x v="127"/>
    <d v="2024-04-14T00:00:00"/>
    <x v="3"/>
    <x v="1"/>
    <s v="Dina Youssef"/>
    <x v="2"/>
    <x v="1"/>
    <x v="1"/>
    <n v="6"/>
    <n v="15800"/>
    <n v="94800"/>
    <n v="54984"/>
    <n v="39816"/>
    <n v="0.42"/>
  </r>
  <r>
    <x v="128"/>
    <d v="2024-04-17T00:00:00"/>
    <x v="3"/>
    <x v="1"/>
    <s v="Dina Youssef"/>
    <x v="2"/>
    <x v="3"/>
    <x v="3"/>
    <n v="10"/>
    <n v="3800"/>
    <n v="38000"/>
    <n v="18240"/>
    <n v="19760"/>
    <n v="0.52"/>
  </r>
  <r>
    <x v="129"/>
    <d v="2024-04-18T00:00:00"/>
    <x v="3"/>
    <x v="1"/>
    <s v="Dina Youssef"/>
    <x v="5"/>
    <x v="2"/>
    <x v="2"/>
    <n v="2"/>
    <n v="2900"/>
    <n v="5800"/>
    <n v="2610"/>
    <n v="3190"/>
    <n v="0.55000000000000004"/>
  </r>
  <r>
    <x v="130"/>
    <d v="2024-04-21T00:00:00"/>
    <x v="3"/>
    <x v="1"/>
    <s v="Dina Youssef"/>
    <x v="0"/>
    <x v="4"/>
    <x v="4"/>
    <n v="6"/>
    <n v="10900"/>
    <n v="65400"/>
    <n v="39240"/>
    <n v="26160"/>
    <n v="0.4"/>
  </r>
  <r>
    <x v="131"/>
    <d v="2024-04-22T00:00:00"/>
    <x v="3"/>
    <x v="1"/>
    <s v="Nour Ibrahim"/>
    <x v="0"/>
    <x v="7"/>
    <x v="5"/>
    <n v="9"/>
    <n v="8800"/>
    <n v="79200"/>
    <n v="49104"/>
    <n v="30096"/>
    <n v="0.38"/>
  </r>
  <r>
    <x v="132"/>
    <d v="2024-04-22T00:00:00"/>
    <x v="3"/>
    <x v="1"/>
    <s v="Dina Youssef"/>
    <x v="0"/>
    <x v="2"/>
    <x v="2"/>
    <n v="3"/>
    <n v="2600"/>
    <n v="7800"/>
    <n v="3510"/>
    <n v="4290"/>
    <n v="0.55000000000000004"/>
  </r>
  <r>
    <x v="133"/>
    <d v="2024-04-23T00:00:00"/>
    <x v="3"/>
    <x v="1"/>
    <s v="Dina Youssef"/>
    <x v="1"/>
    <x v="3"/>
    <x v="3"/>
    <n v="5"/>
    <n v="3800"/>
    <n v="19000"/>
    <n v="9120"/>
    <n v="9880"/>
    <n v="0.52"/>
  </r>
  <r>
    <x v="134"/>
    <d v="2024-04-23T00:00:00"/>
    <x v="3"/>
    <x v="1"/>
    <s v="Dina Youssef"/>
    <x v="2"/>
    <x v="4"/>
    <x v="4"/>
    <n v="8"/>
    <n v="12700"/>
    <n v="101600"/>
    <n v="60960"/>
    <n v="40640"/>
    <n v="0.4"/>
  </r>
  <r>
    <x v="135"/>
    <d v="2024-04-23T00:00:00"/>
    <x v="3"/>
    <x v="1"/>
    <s v="Sara Ali"/>
    <x v="5"/>
    <x v="2"/>
    <x v="2"/>
    <n v="8"/>
    <n v="2800"/>
    <n v="22400"/>
    <n v="10080"/>
    <n v="12320"/>
    <n v="0.55000000000000004"/>
  </r>
  <r>
    <x v="136"/>
    <d v="2024-04-23T00:00:00"/>
    <x v="3"/>
    <x v="1"/>
    <s v="Khaled Mahmoud"/>
    <x v="1"/>
    <x v="3"/>
    <x v="3"/>
    <n v="1"/>
    <n v="3400"/>
    <n v="3400"/>
    <n v="1632"/>
    <n v="1768"/>
    <n v="0.52"/>
  </r>
  <r>
    <x v="137"/>
    <d v="2024-04-24T00:00:00"/>
    <x v="3"/>
    <x v="1"/>
    <s v="Ahmed Mohamed"/>
    <x v="4"/>
    <x v="4"/>
    <x v="4"/>
    <n v="1"/>
    <n v="13100"/>
    <n v="13100"/>
    <n v="7860"/>
    <n v="5240"/>
    <n v="0.4"/>
  </r>
  <r>
    <x v="138"/>
    <d v="2024-04-25T00:00:00"/>
    <x v="3"/>
    <x v="1"/>
    <s v="Dina Youssef"/>
    <x v="4"/>
    <x v="4"/>
    <x v="4"/>
    <n v="2"/>
    <n v="12200"/>
    <n v="24400"/>
    <n v="14640"/>
    <n v="9760"/>
    <n v="0.4"/>
  </r>
  <r>
    <x v="139"/>
    <d v="2024-04-26T00:00:00"/>
    <x v="3"/>
    <x v="1"/>
    <s v="Ahmed Mohamed"/>
    <x v="5"/>
    <x v="0"/>
    <x v="0"/>
    <n v="4"/>
    <n v="5700"/>
    <n v="22800"/>
    <n v="12540"/>
    <n v="10260"/>
    <n v="0.45"/>
  </r>
  <r>
    <x v="140"/>
    <d v="2024-04-26T00:00:00"/>
    <x v="3"/>
    <x v="1"/>
    <s v="Nour Ibrahim"/>
    <x v="2"/>
    <x v="2"/>
    <x v="2"/>
    <n v="4"/>
    <n v="2300"/>
    <n v="9200"/>
    <n v="4140"/>
    <n v="5060"/>
    <n v="0.55000000000000004"/>
  </r>
  <r>
    <x v="141"/>
    <d v="2024-04-27T00:00:00"/>
    <x v="3"/>
    <x v="1"/>
    <s v="Nour Ibrahim"/>
    <x v="2"/>
    <x v="2"/>
    <x v="2"/>
    <n v="10"/>
    <n v="2800"/>
    <n v="28000"/>
    <n v="12600"/>
    <n v="15400"/>
    <n v="0.55000000000000004"/>
  </r>
  <r>
    <x v="142"/>
    <d v="2024-04-28T00:00:00"/>
    <x v="3"/>
    <x v="1"/>
    <s v="Ahmed Mohamed"/>
    <x v="3"/>
    <x v="0"/>
    <x v="0"/>
    <n v="8"/>
    <n v="5400"/>
    <n v="43200"/>
    <n v="23760"/>
    <n v="19440"/>
    <n v="0.45"/>
  </r>
  <r>
    <x v="143"/>
    <d v="2024-04-28T00:00:00"/>
    <x v="3"/>
    <x v="1"/>
    <s v="Nour Ibrahim"/>
    <x v="4"/>
    <x v="6"/>
    <x v="5"/>
    <n v="3"/>
    <n v="28200"/>
    <n v="84600"/>
    <n v="54990"/>
    <n v="29610"/>
    <n v="0.35"/>
  </r>
  <r>
    <x v="144"/>
    <d v="2024-04-29T00:00:00"/>
    <x v="3"/>
    <x v="1"/>
    <s v="Dina Youssef"/>
    <x v="4"/>
    <x v="0"/>
    <x v="0"/>
    <n v="10"/>
    <n v="5500"/>
    <n v="55000"/>
    <n v="30250"/>
    <n v="24750"/>
    <n v="0.45"/>
  </r>
  <r>
    <x v="145"/>
    <d v="2024-04-29T00:00:00"/>
    <x v="3"/>
    <x v="1"/>
    <s v="Dina Youssef"/>
    <x v="5"/>
    <x v="3"/>
    <x v="3"/>
    <n v="8"/>
    <n v="3200"/>
    <n v="25600"/>
    <n v="12288"/>
    <n v="13312"/>
    <n v="0.52"/>
  </r>
  <r>
    <x v="146"/>
    <d v="2024-04-29T00:00:00"/>
    <x v="3"/>
    <x v="1"/>
    <s v="Omar Hassan"/>
    <x v="1"/>
    <x v="5"/>
    <x v="5"/>
    <n v="9"/>
    <n v="8200"/>
    <n v="73800"/>
    <n v="44280"/>
    <n v="29520"/>
    <n v="0.4"/>
  </r>
  <r>
    <x v="147"/>
    <d v="2024-04-29T00:00:00"/>
    <x v="3"/>
    <x v="1"/>
    <s v="Dina Youssef"/>
    <x v="5"/>
    <x v="6"/>
    <x v="5"/>
    <n v="6"/>
    <n v="23100"/>
    <n v="138600"/>
    <n v="90090"/>
    <n v="48510"/>
    <n v="0.35"/>
  </r>
  <r>
    <x v="148"/>
    <d v="2024-04-30T00:00:00"/>
    <x v="3"/>
    <x v="1"/>
    <s v="Sara Ali"/>
    <x v="0"/>
    <x v="0"/>
    <x v="0"/>
    <n v="4"/>
    <n v="4800"/>
    <n v="19200"/>
    <n v="10560"/>
    <n v="8640"/>
    <n v="0.45"/>
  </r>
  <r>
    <x v="149"/>
    <d v="2024-04-30T00:00:00"/>
    <x v="3"/>
    <x v="1"/>
    <s v="Khaled Mahmoud"/>
    <x v="3"/>
    <x v="1"/>
    <x v="1"/>
    <n v="6"/>
    <n v="13900"/>
    <n v="83400"/>
    <n v="48372"/>
    <n v="35028"/>
    <n v="0.42"/>
  </r>
  <r>
    <x v="150"/>
    <d v="2024-04-30T00:00:00"/>
    <x v="3"/>
    <x v="1"/>
    <s v="Omar Hassan"/>
    <x v="1"/>
    <x v="5"/>
    <x v="5"/>
    <n v="6"/>
    <n v="9800"/>
    <n v="58800"/>
    <n v="35280"/>
    <n v="23520"/>
    <n v="0.4"/>
  </r>
  <r>
    <x v="151"/>
    <d v="2024-05-01T00:00:00"/>
    <x v="4"/>
    <x v="1"/>
    <s v="Sara Ali"/>
    <x v="5"/>
    <x v="7"/>
    <x v="5"/>
    <n v="8"/>
    <n v="8000"/>
    <n v="64000"/>
    <n v="39680"/>
    <n v="24320"/>
    <n v="0.38"/>
  </r>
  <r>
    <x v="152"/>
    <d v="2024-05-02T00:00:00"/>
    <x v="4"/>
    <x v="1"/>
    <s v="Ahmed Mohamed"/>
    <x v="0"/>
    <x v="6"/>
    <x v="5"/>
    <n v="10"/>
    <n v="24000"/>
    <n v="240000"/>
    <n v="156000"/>
    <n v="84000"/>
    <n v="0.35"/>
  </r>
  <r>
    <x v="153"/>
    <d v="2024-05-02T00:00:00"/>
    <x v="4"/>
    <x v="1"/>
    <s v="Sara Ali"/>
    <x v="3"/>
    <x v="2"/>
    <x v="2"/>
    <n v="9"/>
    <n v="2300"/>
    <n v="20700"/>
    <n v="9315"/>
    <n v="11385"/>
    <n v="0.55000000000000004"/>
  </r>
  <r>
    <x v="154"/>
    <d v="2024-05-03T00:00:00"/>
    <x v="4"/>
    <x v="1"/>
    <s v="Dina Youssef"/>
    <x v="5"/>
    <x v="3"/>
    <x v="3"/>
    <n v="4"/>
    <n v="3600"/>
    <n v="14400"/>
    <n v="6912"/>
    <n v="7488"/>
    <n v="0.52"/>
  </r>
  <r>
    <x v="155"/>
    <d v="2024-05-03T00:00:00"/>
    <x v="4"/>
    <x v="1"/>
    <s v="Nour Ibrahim"/>
    <x v="0"/>
    <x v="2"/>
    <x v="2"/>
    <n v="3"/>
    <n v="2400"/>
    <n v="7200"/>
    <n v="3240"/>
    <n v="3960"/>
    <n v="0.55000000000000004"/>
  </r>
  <r>
    <x v="156"/>
    <d v="2024-05-04T00:00:00"/>
    <x v="4"/>
    <x v="1"/>
    <s v="Ahmed Mohamed"/>
    <x v="5"/>
    <x v="7"/>
    <x v="5"/>
    <n v="1"/>
    <n v="8500"/>
    <n v="8500"/>
    <n v="5270"/>
    <n v="3230"/>
    <n v="0.38"/>
  </r>
  <r>
    <x v="157"/>
    <d v="2024-05-04T00:00:00"/>
    <x v="4"/>
    <x v="1"/>
    <s v="Khaled Mahmoud"/>
    <x v="2"/>
    <x v="2"/>
    <x v="2"/>
    <n v="4"/>
    <n v="2500"/>
    <n v="10000"/>
    <n v="4500"/>
    <n v="5500"/>
    <n v="0.55000000000000004"/>
  </r>
  <r>
    <x v="158"/>
    <d v="2024-05-05T00:00:00"/>
    <x v="4"/>
    <x v="1"/>
    <s v="Sara Ali"/>
    <x v="5"/>
    <x v="4"/>
    <x v="4"/>
    <n v="8"/>
    <n v="11600"/>
    <n v="92800"/>
    <n v="55680"/>
    <n v="37120"/>
    <n v="0.4"/>
  </r>
  <r>
    <x v="159"/>
    <d v="2024-05-06T00:00:00"/>
    <x v="4"/>
    <x v="1"/>
    <s v="Nour Ibrahim"/>
    <x v="1"/>
    <x v="7"/>
    <x v="5"/>
    <n v="5"/>
    <n v="7400"/>
    <n v="37000"/>
    <n v="22940"/>
    <n v="14060"/>
    <n v="0.38"/>
  </r>
  <r>
    <x v="160"/>
    <d v="2024-05-06T00:00:00"/>
    <x v="4"/>
    <x v="1"/>
    <s v="Nour Ibrahim"/>
    <x v="0"/>
    <x v="5"/>
    <x v="5"/>
    <n v="4"/>
    <n v="9400"/>
    <n v="37600"/>
    <n v="22560"/>
    <n v="15040"/>
    <n v="0.4"/>
  </r>
  <r>
    <x v="161"/>
    <d v="2024-05-07T00:00:00"/>
    <x v="4"/>
    <x v="1"/>
    <s v="Nour Ibrahim"/>
    <x v="0"/>
    <x v="0"/>
    <x v="0"/>
    <n v="2"/>
    <n v="4700"/>
    <n v="9400"/>
    <n v="5170"/>
    <n v="4230"/>
    <n v="0.45"/>
  </r>
  <r>
    <x v="162"/>
    <d v="2024-05-07T00:00:00"/>
    <x v="4"/>
    <x v="1"/>
    <s v="Khaled Mahmoud"/>
    <x v="1"/>
    <x v="4"/>
    <x v="4"/>
    <n v="7"/>
    <n v="12500"/>
    <n v="87500"/>
    <n v="52500"/>
    <n v="35000"/>
    <n v="0.4"/>
  </r>
  <r>
    <x v="163"/>
    <d v="2024-05-08T00:00:00"/>
    <x v="4"/>
    <x v="1"/>
    <s v="Omar Hassan"/>
    <x v="0"/>
    <x v="2"/>
    <x v="2"/>
    <n v="4"/>
    <n v="2300"/>
    <n v="9200"/>
    <n v="4140"/>
    <n v="5060"/>
    <n v="0.55000000000000004"/>
  </r>
  <r>
    <x v="164"/>
    <d v="2024-05-08T00:00:00"/>
    <x v="4"/>
    <x v="1"/>
    <s v="Sara Ali"/>
    <x v="0"/>
    <x v="7"/>
    <x v="5"/>
    <n v="1"/>
    <n v="7400"/>
    <n v="7400"/>
    <n v="4588"/>
    <n v="2812"/>
    <n v="0.38"/>
  </r>
  <r>
    <x v="165"/>
    <d v="2024-05-08T00:00:00"/>
    <x v="4"/>
    <x v="1"/>
    <s v="Omar Hassan"/>
    <x v="4"/>
    <x v="2"/>
    <x v="2"/>
    <n v="9"/>
    <n v="2600"/>
    <n v="23400"/>
    <n v="10530"/>
    <n v="12870"/>
    <n v="0.55000000000000004"/>
  </r>
  <r>
    <x v="166"/>
    <d v="2024-05-09T00:00:00"/>
    <x v="4"/>
    <x v="1"/>
    <s v="Ahmed Mohamed"/>
    <x v="2"/>
    <x v="4"/>
    <x v="4"/>
    <n v="9"/>
    <n v="12200"/>
    <n v="109800"/>
    <n v="65880"/>
    <n v="43920"/>
    <n v="0.4"/>
  </r>
  <r>
    <x v="167"/>
    <d v="2024-05-11T00:00:00"/>
    <x v="4"/>
    <x v="1"/>
    <s v="Dina Youssef"/>
    <x v="3"/>
    <x v="1"/>
    <x v="1"/>
    <n v="10"/>
    <n v="14100"/>
    <n v="141000"/>
    <n v="81780"/>
    <n v="59220"/>
    <n v="0.42"/>
  </r>
  <r>
    <x v="168"/>
    <d v="2024-05-11T00:00:00"/>
    <x v="4"/>
    <x v="1"/>
    <s v="Dina Youssef"/>
    <x v="1"/>
    <x v="2"/>
    <x v="2"/>
    <n v="9"/>
    <n v="2800"/>
    <n v="25200"/>
    <n v="11340"/>
    <n v="13860"/>
    <n v="0.55000000000000004"/>
  </r>
  <r>
    <x v="169"/>
    <d v="2024-05-16T00:00:00"/>
    <x v="4"/>
    <x v="1"/>
    <s v="Sara Ali"/>
    <x v="5"/>
    <x v="1"/>
    <x v="1"/>
    <n v="7"/>
    <n v="13900"/>
    <n v="97300"/>
    <n v="56434"/>
    <n v="40866"/>
    <n v="0.42"/>
  </r>
  <r>
    <x v="170"/>
    <d v="2024-05-19T00:00:00"/>
    <x v="4"/>
    <x v="1"/>
    <s v="Ahmed Mohamed"/>
    <x v="4"/>
    <x v="0"/>
    <x v="0"/>
    <n v="6"/>
    <n v="5700"/>
    <n v="34200"/>
    <n v="18810"/>
    <n v="15390"/>
    <n v="0.45"/>
  </r>
  <r>
    <x v="171"/>
    <d v="2024-05-19T00:00:00"/>
    <x v="4"/>
    <x v="1"/>
    <s v="Nour Ibrahim"/>
    <x v="3"/>
    <x v="4"/>
    <x v="4"/>
    <n v="7"/>
    <n v="13200"/>
    <n v="92400"/>
    <n v="55440"/>
    <n v="36960"/>
    <n v="0.4"/>
  </r>
  <r>
    <x v="172"/>
    <d v="2024-05-19T00:00:00"/>
    <x v="4"/>
    <x v="1"/>
    <s v="Khaled Mahmoud"/>
    <x v="5"/>
    <x v="5"/>
    <x v="5"/>
    <n v="6"/>
    <n v="9200"/>
    <n v="55200"/>
    <n v="33120"/>
    <n v="22080"/>
    <n v="0.4"/>
  </r>
  <r>
    <x v="173"/>
    <d v="2024-05-20T00:00:00"/>
    <x v="4"/>
    <x v="1"/>
    <s v="Khaled Mahmoud"/>
    <x v="2"/>
    <x v="1"/>
    <x v="1"/>
    <n v="10"/>
    <n v="14900"/>
    <n v="149000"/>
    <n v="86420"/>
    <n v="62580"/>
    <n v="0.42"/>
  </r>
  <r>
    <x v="174"/>
    <d v="2024-05-21T00:00:00"/>
    <x v="4"/>
    <x v="1"/>
    <s v="Omar Hassan"/>
    <x v="2"/>
    <x v="3"/>
    <x v="3"/>
    <n v="2"/>
    <n v="3400"/>
    <n v="6800"/>
    <n v="3264"/>
    <n v="3536"/>
    <n v="0.52"/>
  </r>
  <r>
    <x v="175"/>
    <d v="2024-05-22T00:00:00"/>
    <x v="4"/>
    <x v="1"/>
    <s v="Sara Ali"/>
    <x v="2"/>
    <x v="5"/>
    <x v="5"/>
    <n v="6"/>
    <n v="9500"/>
    <n v="57000"/>
    <n v="34200"/>
    <n v="22800"/>
    <n v="0.4"/>
  </r>
  <r>
    <x v="176"/>
    <d v="2024-05-22T00:00:00"/>
    <x v="4"/>
    <x v="1"/>
    <s v="Omar Hassan"/>
    <x v="3"/>
    <x v="4"/>
    <x v="4"/>
    <n v="5"/>
    <n v="13700"/>
    <n v="68500"/>
    <n v="41100"/>
    <n v="27400"/>
    <n v="0.4"/>
  </r>
  <r>
    <x v="177"/>
    <d v="2024-05-22T00:00:00"/>
    <x v="4"/>
    <x v="1"/>
    <s v="Dina Youssef"/>
    <x v="4"/>
    <x v="2"/>
    <x v="2"/>
    <n v="1"/>
    <n v="2900"/>
    <n v="2900"/>
    <n v="1305"/>
    <n v="1595"/>
    <n v="0.55000000000000004"/>
  </r>
  <r>
    <x v="178"/>
    <d v="2024-05-23T00:00:00"/>
    <x v="4"/>
    <x v="1"/>
    <s v="Nour Ibrahim"/>
    <x v="5"/>
    <x v="6"/>
    <x v="5"/>
    <n v="4"/>
    <n v="26800"/>
    <n v="107200"/>
    <n v="69680"/>
    <n v="37520"/>
    <n v="0.35"/>
  </r>
  <r>
    <x v="179"/>
    <d v="2024-05-23T00:00:00"/>
    <x v="4"/>
    <x v="1"/>
    <s v="Sara Ali"/>
    <x v="1"/>
    <x v="3"/>
    <x v="3"/>
    <n v="10"/>
    <n v="3500"/>
    <n v="35000"/>
    <n v="16800"/>
    <n v="18200"/>
    <n v="0.52"/>
  </r>
  <r>
    <x v="180"/>
    <d v="2024-05-24T00:00:00"/>
    <x v="4"/>
    <x v="1"/>
    <s v="Sara Ali"/>
    <x v="4"/>
    <x v="3"/>
    <x v="3"/>
    <n v="7"/>
    <n v="3600"/>
    <n v="25200"/>
    <n v="12096"/>
    <n v="13104"/>
    <n v="0.52"/>
  </r>
  <r>
    <x v="181"/>
    <d v="2024-05-24T00:00:00"/>
    <x v="4"/>
    <x v="1"/>
    <s v="Omar Hassan"/>
    <x v="1"/>
    <x v="5"/>
    <x v="5"/>
    <n v="8"/>
    <n v="9400"/>
    <n v="75200"/>
    <n v="45120"/>
    <n v="30080"/>
    <n v="0.4"/>
  </r>
  <r>
    <x v="182"/>
    <d v="2024-05-24T00:00:00"/>
    <x v="4"/>
    <x v="1"/>
    <s v="Omar Hassan"/>
    <x v="2"/>
    <x v="3"/>
    <x v="3"/>
    <n v="6"/>
    <n v="3600"/>
    <n v="21600"/>
    <n v="10368"/>
    <n v="11232"/>
    <n v="0.52"/>
  </r>
  <r>
    <x v="183"/>
    <d v="2024-05-25T00:00:00"/>
    <x v="4"/>
    <x v="1"/>
    <s v="Omar Hassan"/>
    <x v="5"/>
    <x v="5"/>
    <x v="5"/>
    <n v="4"/>
    <n v="8600"/>
    <n v="34400"/>
    <n v="20640"/>
    <n v="13760"/>
    <n v="0.4"/>
  </r>
  <r>
    <x v="184"/>
    <d v="2024-05-25T00:00:00"/>
    <x v="4"/>
    <x v="1"/>
    <s v="Khaled Mahmoud"/>
    <x v="5"/>
    <x v="5"/>
    <x v="5"/>
    <n v="9"/>
    <n v="10300"/>
    <n v="92700"/>
    <n v="55620"/>
    <n v="37080"/>
    <n v="0.4"/>
  </r>
  <r>
    <x v="185"/>
    <d v="2024-05-26T00:00:00"/>
    <x v="4"/>
    <x v="1"/>
    <s v="Dina Youssef"/>
    <x v="3"/>
    <x v="3"/>
    <x v="3"/>
    <n v="9"/>
    <n v="3800"/>
    <n v="34200"/>
    <n v="16416"/>
    <n v="17784"/>
    <n v="0.52"/>
  </r>
  <r>
    <x v="186"/>
    <d v="2024-05-26T00:00:00"/>
    <x v="4"/>
    <x v="1"/>
    <s v="Dina Youssef"/>
    <x v="1"/>
    <x v="6"/>
    <x v="5"/>
    <n v="2"/>
    <n v="28200"/>
    <n v="56400"/>
    <n v="36660"/>
    <n v="19740"/>
    <n v="0.35"/>
  </r>
  <r>
    <x v="187"/>
    <d v="2024-05-26T00:00:00"/>
    <x v="4"/>
    <x v="1"/>
    <s v="Dina Youssef"/>
    <x v="3"/>
    <x v="3"/>
    <x v="3"/>
    <n v="3"/>
    <n v="3300"/>
    <n v="9900"/>
    <n v="4752"/>
    <n v="5148"/>
    <n v="0.52"/>
  </r>
  <r>
    <x v="188"/>
    <d v="2024-05-27T00:00:00"/>
    <x v="4"/>
    <x v="1"/>
    <s v="Khaled Mahmoud"/>
    <x v="4"/>
    <x v="0"/>
    <x v="0"/>
    <n v="10"/>
    <n v="4900"/>
    <n v="49000"/>
    <n v="26950"/>
    <n v="22050"/>
    <n v="0.45"/>
  </r>
  <r>
    <x v="189"/>
    <d v="2024-05-27T00:00:00"/>
    <x v="4"/>
    <x v="1"/>
    <s v="Omar Hassan"/>
    <x v="5"/>
    <x v="2"/>
    <x v="2"/>
    <n v="8"/>
    <n v="2700"/>
    <n v="21600"/>
    <n v="9720"/>
    <n v="11880"/>
    <n v="0.55000000000000004"/>
  </r>
  <r>
    <x v="190"/>
    <d v="2024-05-27T00:00:00"/>
    <x v="4"/>
    <x v="1"/>
    <s v="Dina Youssef"/>
    <x v="2"/>
    <x v="4"/>
    <x v="4"/>
    <n v="8"/>
    <n v="11800"/>
    <n v="94400"/>
    <n v="56640"/>
    <n v="37760"/>
    <n v="0.4"/>
  </r>
  <r>
    <x v="191"/>
    <d v="2024-05-28T00:00:00"/>
    <x v="4"/>
    <x v="1"/>
    <s v="Dina Youssef"/>
    <x v="5"/>
    <x v="1"/>
    <x v="1"/>
    <n v="8"/>
    <n v="13900"/>
    <n v="111200"/>
    <n v="64496"/>
    <n v="46704"/>
    <n v="0.42"/>
  </r>
  <r>
    <x v="192"/>
    <d v="2024-05-30T00:00:00"/>
    <x v="4"/>
    <x v="1"/>
    <s v="Ahmed Mohamed"/>
    <x v="3"/>
    <x v="1"/>
    <x v="1"/>
    <n v="2"/>
    <n v="15700"/>
    <n v="31400"/>
    <n v="18212"/>
    <n v="13188"/>
    <n v="0.42"/>
  </r>
  <r>
    <x v="193"/>
    <d v="2024-05-30T00:00:00"/>
    <x v="4"/>
    <x v="1"/>
    <s v="Sara Ali"/>
    <x v="1"/>
    <x v="1"/>
    <x v="1"/>
    <n v="3"/>
    <n v="14900"/>
    <n v="44700"/>
    <n v="25926"/>
    <n v="18774"/>
    <n v="0.42"/>
  </r>
  <r>
    <x v="194"/>
    <d v="2024-05-31T00:00:00"/>
    <x v="4"/>
    <x v="1"/>
    <s v="Dina Youssef"/>
    <x v="3"/>
    <x v="7"/>
    <x v="5"/>
    <n v="7"/>
    <n v="7600"/>
    <n v="53200"/>
    <n v="32984"/>
    <n v="20216"/>
    <n v="0.38"/>
  </r>
  <r>
    <x v="195"/>
    <d v="2024-05-31T00:00:00"/>
    <x v="4"/>
    <x v="1"/>
    <s v="Nour Ibrahim"/>
    <x v="1"/>
    <x v="2"/>
    <x v="2"/>
    <n v="7"/>
    <n v="2400"/>
    <n v="16800"/>
    <n v="7560"/>
    <n v="9240"/>
    <n v="0.55000000000000004"/>
  </r>
  <r>
    <x v="196"/>
    <d v="2024-05-31T00:00:00"/>
    <x v="4"/>
    <x v="1"/>
    <s v="Omar Hassan"/>
    <x v="4"/>
    <x v="2"/>
    <x v="2"/>
    <n v="2"/>
    <n v="2700"/>
    <n v="5400"/>
    <n v="2430"/>
    <n v="2970"/>
    <n v="0.55000000000000004"/>
  </r>
  <r>
    <x v="197"/>
    <d v="2024-05-31T00:00:00"/>
    <x v="4"/>
    <x v="1"/>
    <s v="Ahmed Mohamed"/>
    <x v="3"/>
    <x v="3"/>
    <x v="3"/>
    <n v="2"/>
    <n v="4000"/>
    <n v="8000"/>
    <n v="3840"/>
    <n v="4160"/>
    <n v="0.52"/>
  </r>
  <r>
    <x v="198"/>
    <d v="2024-06-01T00:00:00"/>
    <x v="5"/>
    <x v="1"/>
    <s v="Ahmed Mohamed"/>
    <x v="1"/>
    <x v="3"/>
    <x v="3"/>
    <n v="10"/>
    <n v="3400"/>
    <n v="34000"/>
    <n v="16320"/>
    <n v="17680"/>
    <n v="0.52"/>
  </r>
  <r>
    <x v="199"/>
    <d v="2024-06-02T00:00:00"/>
    <x v="5"/>
    <x v="1"/>
    <s v="Ahmed Mohamed"/>
    <x v="5"/>
    <x v="5"/>
    <x v="5"/>
    <n v="2"/>
    <n v="8800"/>
    <n v="17600"/>
    <n v="10560"/>
    <n v="7040"/>
    <n v="0.4"/>
  </r>
  <r>
    <x v="200"/>
    <d v="2024-06-03T00:00:00"/>
    <x v="5"/>
    <x v="1"/>
    <s v="Omar Hassan"/>
    <x v="5"/>
    <x v="5"/>
    <x v="5"/>
    <n v="7"/>
    <n v="8700"/>
    <n v="60900"/>
    <n v="36540"/>
    <n v="24360"/>
    <n v="0.4"/>
  </r>
  <r>
    <x v="201"/>
    <d v="2024-06-03T00:00:00"/>
    <x v="5"/>
    <x v="1"/>
    <s v="Sara Ali"/>
    <x v="5"/>
    <x v="0"/>
    <x v="0"/>
    <n v="2"/>
    <n v="5100"/>
    <n v="10200"/>
    <n v="5610"/>
    <n v="4590"/>
    <n v="0.45"/>
  </r>
  <r>
    <x v="202"/>
    <d v="2024-06-08T00:00:00"/>
    <x v="5"/>
    <x v="1"/>
    <s v="Ahmed Mohamed"/>
    <x v="1"/>
    <x v="3"/>
    <x v="3"/>
    <n v="4"/>
    <n v="3500"/>
    <n v="14000"/>
    <n v="6720"/>
    <n v="7280"/>
    <n v="0.52"/>
  </r>
  <r>
    <x v="203"/>
    <d v="2024-06-09T00:00:00"/>
    <x v="5"/>
    <x v="1"/>
    <s v="Dina Youssef"/>
    <x v="3"/>
    <x v="2"/>
    <x v="2"/>
    <n v="3"/>
    <n v="2400"/>
    <n v="7200"/>
    <n v="3240"/>
    <n v="3960"/>
    <n v="0.55000000000000004"/>
  </r>
  <r>
    <x v="204"/>
    <d v="2024-06-09T00:00:00"/>
    <x v="5"/>
    <x v="1"/>
    <s v="Dina Youssef"/>
    <x v="5"/>
    <x v="0"/>
    <x v="0"/>
    <n v="3"/>
    <n v="5000"/>
    <n v="15000"/>
    <n v="8250"/>
    <n v="6750"/>
    <n v="0.45"/>
  </r>
  <r>
    <x v="205"/>
    <d v="2024-06-09T00:00:00"/>
    <x v="5"/>
    <x v="1"/>
    <s v="Khaled Mahmoud"/>
    <x v="5"/>
    <x v="2"/>
    <x v="2"/>
    <n v="8"/>
    <n v="2700"/>
    <n v="21600"/>
    <n v="9720"/>
    <n v="11880"/>
    <n v="0.55000000000000004"/>
  </r>
  <r>
    <x v="206"/>
    <d v="2024-06-10T00:00:00"/>
    <x v="5"/>
    <x v="1"/>
    <s v="Khaled Mahmoud"/>
    <x v="3"/>
    <x v="3"/>
    <x v="3"/>
    <n v="4"/>
    <n v="3400"/>
    <n v="13600"/>
    <n v="6528"/>
    <n v="7072"/>
    <n v="0.52"/>
  </r>
  <r>
    <x v="207"/>
    <d v="2024-06-10T00:00:00"/>
    <x v="5"/>
    <x v="1"/>
    <s v="Dina Youssef"/>
    <x v="5"/>
    <x v="2"/>
    <x v="2"/>
    <n v="7"/>
    <n v="2700"/>
    <n v="18900"/>
    <n v="8505"/>
    <n v="10395"/>
    <n v="0.55000000000000004"/>
  </r>
  <r>
    <x v="208"/>
    <d v="2024-06-13T00:00:00"/>
    <x v="5"/>
    <x v="1"/>
    <s v="Khaled Mahmoud"/>
    <x v="5"/>
    <x v="2"/>
    <x v="2"/>
    <n v="4"/>
    <n v="2900"/>
    <n v="11600"/>
    <n v="5220"/>
    <n v="6380"/>
    <n v="0.55000000000000004"/>
  </r>
  <r>
    <x v="209"/>
    <d v="2024-06-13T00:00:00"/>
    <x v="5"/>
    <x v="1"/>
    <s v="Omar Hassan"/>
    <x v="5"/>
    <x v="4"/>
    <x v="4"/>
    <n v="5"/>
    <n v="11000"/>
    <n v="55000"/>
    <n v="33000"/>
    <n v="22000"/>
    <n v="0.4"/>
  </r>
  <r>
    <x v="210"/>
    <d v="2024-06-14T00:00:00"/>
    <x v="5"/>
    <x v="1"/>
    <s v="Omar Hassan"/>
    <x v="0"/>
    <x v="2"/>
    <x v="2"/>
    <n v="9"/>
    <n v="2500"/>
    <n v="22500"/>
    <n v="10125"/>
    <n v="12375"/>
    <n v="0.55000000000000004"/>
  </r>
  <r>
    <x v="211"/>
    <d v="2024-06-15T00:00:00"/>
    <x v="5"/>
    <x v="1"/>
    <s v="Sara Ali"/>
    <x v="5"/>
    <x v="5"/>
    <x v="5"/>
    <n v="6"/>
    <n v="9300"/>
    <n v="55800"/>
    <n v="33480"/>
    <n v="22320"/>
    <n v="0.4"/>
  </r>
  <r>
    <x v="212"/>
    <d v="2024-06-15T00:00:00"/>
    <x v="5"/>
    <x v="1"/>
    <s v="Dina Youssef"/>
    <x v="5"/>
    <x v="2"/>
    <x v="2"/>
    <n v="5"/>
    <n v="2500"/>
    <n v="12500"/>
    <n v="5625"/>
    <n v="6875"/>
    <n v="0.55000000000000004"/>
  </r>
  <r>
    <x v="213"/>
    <d v="2024-06-16T00:00:00"/>
    <x v="5"/>
    <x v="1"/>
    <s v="Omar Hassan"/>
    <x v="5"/>
    <x v="1"/>
    <x v="1"/>
    <n v="7"/>
    <n v="16400"/>
    <n v="114800"/>
    <n v="66584"/>
    <n v="48216"/>
    <n v="0.42"/>
  </r>
  <r>
    <x v="214"/>
    <d v="2024-06-16T00:00:00"/>
    <x v="5"/>
    <x v="1"/>
    <s v="Sara Ali"/>
    <x v="4"/>
    <x v="4"/>
    <x v="4"/>
    <n v="2"/>
    <n v="12000"/>
    <n v="24000"/>
    <n v="14400"/>
    <n v="9600"/>
    <n v="0.4"/>
  </r>
  <r>
    <x v="215"/>
    <d v="2024-06-17T00:00:00"/>
    <x v="5"/>
    <x v="1"/>
    <s v="Dina Youssef"/>
    <x v="0"/>
    <x v="4"/>
    <x v="4"/>
    <n v="7"/>
    <n v="12000"/>
    <n v="84000"/>
    <n v="50400"/>
    <n v="33600"/>
    <n v="0.4"/>
  </r>
  <r>
    <x v="216"/>
    <d v="2024-06-18T00:00:00"/>
    <x v="5"/>
    <x v="1"/>
    <s v="Dina Youssef"/>
    <x v="3"/>
    <x v="3"/>
    <x v="3"/>
    <n v="3"/>
    <n v="3800"/>
    <n v="11400"/>
    <n v="5472"/>
    <n v="5928"/>
    <n v="0.52"/>
  </r>
  <r>
    <x v="217"/>
    <d v="2024-06-19T00:00:00"/>
    <x v="5"/>
    <x v="1"/>
    <s v="Sara Ali"/>
    <x v="0"/>
    <x v="2"/>
    <x v="2"/>
    <n v="10"/>
    <n v="2900"/>
    <n v="29000"/>
    <n v="13050"/>
    <n v="15950"/>
    <n v="0.55000000000000004"/>
  </r>
  <r>
    <x v="218"/>
    <d v="2024-06-19T00:00:00"/>
    <x v="5"/>
    <x v="1"/>
    <s v="Omar Hassan"/>
    <x v="3"/>
    <x v="7"/>
    <x v="5"/>
    <n v="9"/>
    <n v="7300"/>
    <n v="65700"/>
    <n v="40734"/>
    <n v="24966"/>
    <n v="0.38"/>
  </r>
  <r>
    <x v="219"/>
    <d v="2024-06-20T00:00:00"/>
    <x v="5"/>
    <x v="1"/>
    <s v="Nour Ibrahim"/>
    <x v="3"/>
    <x v="7"/>
    <x v="5"/>
    <n v="5"/>
    <n v="7500"/>
    <n v="37500"/>
    <n v="23250"/>
    <n v="14250"/>
    <n v="0.38"/>
  </r>
  <r>
    <x v="220"/>
    <d v="2024-06-21T00:00:00"/>
    <x v="5"/>
    <x v="1"/>
    <s v="Ahmed Mohamed"/>
    <x v="0"/>
    <x v="6"/>
    <x v="5"/>
    <n v="1"/>
    <n v="27700"/>
    <n v="27700"/>
    <n v="18005"/>
    <n v="9695"/>
    <n v="0.35"/>
  </r>
  <r>
    <x v="221"/>
    <d v="2024-06-22T00:00:00"/>
    <x v="5"/>
    <x v="1"/>
    <s v="Khaled Mahmoud"/>
    <x v="5"/>
    <x v="4"/>
    <x v="4"/>
    <n v="4"/>
    <n v="11500"/>
    <n v="46000"/>
    <n v="27600"/>
    <n v="18400"/>
    <n v="0.4"/>
  </r>
  <r>
    <x v="222"/>
    <d v="2024-06-22T00:00:00"/>
    <x v="5"/>
    <x v="1"/>
    <s v="Sara Ali"/>
    <x v="4"/>
    <x v="4"/>
    <x v="4"/>
    <n v="2"/>
    <n v="12200"/>
    <n v="24400"/>
    <n v="14640"/>
    <n v="9760"/>
    <n v="0.4"/>
  </r>
  <r>
    <x v="223"/>
    <d v="2024-06-22T00:00:00"/>
    <x v="5"/>
    <x v="1"/>
    <s v="Ahmed Mohamed"/>
    <x v="2"/>
    <x v="6"/>
    <x v="5"/>
    <n v="6"/>
    <n v="27400"/>
    <n v="164400"/>
    <n v="106860"/>
    <n v="57540"/>
    <n v="0.35"/>
  </r>
  <r>
    <x v="224"/>
    <d v="2024-06-23T00:00:00"/>
    <x v="5"/>
    <x v="1"/>
    <s v="Nour Ibrahim"/>
    <x v="0"/>
    <x v="7"/>
    <x v="5"/>
    <n v="5"/>
    <n v="9100"/>
    <n v="45500"/>
    <n v="28210"/>
    <n v="17290"/>
    <n v="0.38"/>
  </r>
  <r>
    <x v="225"/>
    <d v="2024-06-23T00:00:00"/>
    <x v="5"/>
    <x v="1"/>
    <s v="Ahmed Mohamed"/>
    <x v="3"/>
    <x v="3"/>
    <x v="3"/>
    <n v="6"/>
    <n v="4000"/>
    <n v="24000"/>
    <n v="11520"/>
    <n v="12480"/>
    <n v="0.52"/>
  </r>
  <r>
    <x v="226"/>
    <d v="2024-06-25T00:00:00"/>
    <x v="5"/>
    <x v="1"/>
    <s v="Nour Ibrahim"/>
    <x v="5"/>
    <x v="1"/>
    <x v="1"/>
    <n v="9"/>
    <n v="15600"/>
    <n v="140400"/>
    <n v="81432"/>
    <n v="58968"/>
    <n v="0.42"/>
  </r>
  <r>
    <x v="227"/>
    <d v="2024-06-25T00:00:00"/>
    <x v="5"/>
    <x v="1"/>
    <s v="Khaled Mahmoud"/>
    <x v="3"/>
    <x v="2"/>
    <x v="2"/>
    <n v="2"/>
    <n v="2700"/>
    <n v="5400"/>
    <n v="2430"/>
    <n v="2970"/>
    <n v="0.55000000000000004"/>
  </r>
  <r>
    <x v="228"/>
    <d v="2024-06-25T00:00:00"/>
    <x v="5"/>
    <x v="1"/>
    <s v="Khaled Mahmoud"/>
    <x v="1"/>
    <x v="3"/>
    <x v="3"/>
    <n v="6"/>
    <n v="3300"/>
    <n v="19800"/>
    <n v="9504"/>
    <n v="10296"/>
    <n v="0.52"/>
  </r>
  <r>
    <x v="229"/>
    <d v="2024-06-26T00:00:00"/>
    <x v="5"/>
    <x v="1"/>
    <s v="Ahmed Mohamed"/>
    <x v="3"/>
    <x v="7"/>
    <x v="5"/>
    <n v="2"/>
    <n v="7800"/>
    <n v="15600"/>
    <n v="9672"/>
    <n v="5928"/>
    <n v="0.38"/>
  </r>
  <r>
    <x v="230"/>
    <d v="2024-06-27T00:00:00"/>
    <x v="5"/>
    <x v="1"/>
    <s v="Sara Ali"/>
    <x v="2"/>
    <x v="3"/>
    <x v="3"/>
    <n v="2"/>
    <n v="3400"/>
    <n v="6800"/>
    <n v="3264"/>
    <n v="3536"/>
    <n v="0.52"/>
  </r>
  <r>
    <x v="231"/>
    <d v="2024-06-27T00:00:00"/>
    <x v="5"/>
    <x v="1"/>
    <s v="Dina Youssef"/>
    <x v="1"/>
    <x v="0"/>
    <x v="0"/>
    <n v="10"/>
    <n v="4900"/>
    <n v="49000"/>
    <n v="26950"/>
    <n v="22050"/>
    <n v="0.45"/>
  </r>
  <r>
    <x v="232"/>
    <d v="2024-06-27T00:00:00"/>
    <x v="5"/>
    <x v="1"/>
    <s v="Nour Ibrahim"/>
    <x v="1"/>
    <x v="4"/>
    <x v="4"/>
    <n v="9"/>
    <n v="11300"/>
    <n v="101700"/>
    <n v="61020"/>
    <n v="40680"/>
    <n v="0.4"/>
  </r>
  <r>
    <x v="233"/>
    <d v="2024-06-30T00:00:00"/>
    <x v="5"/>
    <x v="1"/>
    <s v="Khaled Mahmoud"/>
    <x v="3"/>
    <x v="2"/>
    <x v="2"/>
    <n v="2"/>
    <n v="2700"/>
    <n v="5400"/>
    <n v="2430"/>
    <n v="2970"/>
    <n v="0.55000000000000004"/>
  </r>
  <r>
    <x v="234"/>
    <d v="2024-06-30T00:00:00"/>
    <x v="5"/>
    <x v="1"/>
    <s v="Sara Ali"/>
    <x v="4"/>
    <x v="3"/>
    <x v="3"/>
    <n v="3"/>
    <n v="4000"/>
    <n v="12000"/>
    <n v="5760"/>
    <n v="6240"/>
    <n v="0.52"/>
  </r>
  <r>
    <x v="235"/>
    <d v="2024-06-30T00:00:00"/>
    <x v="5"/>
    <x v="1"/>
    <s v="Omar Hassan"/>
    <x v="5"/>
    <x v="0"/>
    <x v="0"/>
    <n v="2"/>
    <n v="5500"/>
    <n v="11000"/>
    <n v="6050"/>
    <n v="4950"/>
    <n v="0.45"/>
  </r>
  <r>
    <x v="236"/>
    <d v="2024-06-30T00:00:00"/>
    <x v="5"/>
    <x v="1"/>
    <s v="Khaled Mahmoud"/>
    <x v="3"/>
    <x v="7"/>
    <x v="5"/>
    <n v="1"/>
    <n v="8500"/>
    <n v="8500"/>
    <n v="5270"/>
    <n v="3230"/>
    <n v="0.38"/>
  </r>
  <r>
    <x v="237"/>
    <d v="2024-07-02T00:00:00"/>
    <x v="6"/>
    <x v="2"/>
    <s v="Ahmed Mohamed"/>
    <x v="5"/>
    <x v="6"/>
    <x v="5"/>
    <n v="4"/>
    <n v="25000"/>
    <n v="100000"/>
    <n v="65000"/>
    <n v="35000"/>
    <n v="0.35"/>
  </r>
  <r>
    <x v="238"/>
    <d v="2024-07-02T00:00:00"/>
    <x v="6"/>
    <x v="2"/>
    <s v="Sara Ali"/>
    <x v="2"/>
    <x v="2"/>
    <x v="2"/>
    <n v="1"/>
    <n v="2600"/>
    <n v="2600"/>
    <n v="1170"/>
    <n v="1430"/>
    <n v="0.55000000000000004"/>
  </r>
  <r>
    <x v="239"/>
    <d v="2024-07-03T00:00:00"/>
    <x v="6"/>
    <x v="2"/>
    <s v="Sara Ali"/>
    <x v="2"/>
    <x v="7"/>
    <x v="5"/>
    <n v="9"/>
    <n v="7800"/>
    <n v="70200"/>
    <n v="43524"/>
    <n v="26676"/>
    <n v="0.38"/>
  </r>
  <r>
    <x v="240"/>
    <d v="2024-07-03T00:00:00"/>
    <x v="6"/>
    <x v="2"/>
    <s v="Omar Hassan"/>
    <x v="4"/>
    <x v="5"/>
    <x v="5"/>
    <n v="8"/>
    <n v="9100"/>
    <n v="72800"/>
    <n v="43680"/>
    <n v="29120"/>
    <n v="0.4"/>
  </r>
  <r>
    <x v="241"/>
    <d v="2024-07-04T00:00:00"/>
    <x v="6"/>
    <x v="2"/>
    <s v="Khaled Mahmoud"/>
    <x v="4"/>
    <x v="3"/>
    <x v="3"/>
    <n v="1"/>
    <n v="4000"/>
    <n v="4000"/>
    <n v="1920"/>
    <n v="2080"/>
    <n v="0.52"/>
  </r>
  <r>
    <x v="242"/>
    <d v="2024-07-05T00:00:00"/>
    <x v="6"/>
    <x v="2"/>
    <s v="Omar Hassan"/>
    <x v="3"/>
    <x v="7"/>
    <x v="5"/>
    <n v="5"/>
    <n v="7400"/>
    <n v="37000"/>
    <n v="22940"/>
    <n v="14060"/>
    <n v="0.38"/>
  </r>
  <r>
    <x v="243"/>
    <d v="2024-07-07T00:00:00"/>
    <x v="6"/>
    <x v="2"/>
    <s v="Nour Ibrahim"/>
    <x v="3"/>
    <x v="5"/>
    <x v="5"/>
    <n v="6"/>
    <n v="9300"/>
    <n v="55800"/>
    <n v="33480"/>
    <n v="22320"/>
    <n v="0.4"/>
  </r>
  <r>
    <x v="244"/>
    <d v="2024-07-07T00:00:00"/>
    <x v="6"/>
    <x v="2"/>
    <s v="Sara Ali"/>
    <x v="5"/>
    <x v="4"/>
    <x v="4"/>
    <n v="10"/>
    <n v="13100"/>
    <n v="131000"/>
    <n v="78600"/>
    <n v="52400"/>
    <n v="0.4"/>
  </r>
  <r>
    <x v="245"/>
    <d v="2024-07-08T00:00:00"/>
    <x v="6"/>
    <x v="2"/>
    <s v="Omar Hassan"/>
    <x v="2"/>
    <x v="7"/>
    <x v="5"/>
    <n v="1"/>
    <n v="8100"/>
    <n v="8100"/>
    <n v="5022"/>
    <n v="3078"/>
    <n v="0.38"/>
  </r>
  <r>
    <x v="246"/>
    <d v="2024-07-08T00:00:00"/>
    <x v="6"/>
    <x v="2"/>
    <s v="Khaled Mahmoud"/>
    <x v="0"/>
    <x v="0"/>
    <x v="0"/>
    <n v="10"/>
    <n v="5400"/>
    <n v="54000"/>
    <n v="29700"/>
    <n v="24300"/>
    <n v="0.45"/>
  </r>
  <r>
    <x v="247"/>
    <d v="2024-07-08T00:00:00"/>
    <x v="6"/>
    <x v="2"/>
    <s v="Sara Ali"/>
    <x v="3"/>
    <x v="1"/>
    <x v="1"/>
    <n v="10"/>
    <n v="15100"/>
    <n v="151000"/>
    <n v="87580"/>
    <n v="63420"/>
    <n v="0.42"/>
  </r>
  <r>
    <x v="248"/>
    <d v="2024-07-09T00:00:00"/>
    <x v="6"/>
    <x v="2"/>
    <s v="Khaled Mahmoud"/>
    <x v="1"/>
    <x v="7"/>
    <x v="5"/>
    <n v="10"/>
    <n v="8300"/>
    <n v="83000"/>
    <n v="51460"/>
    <n v="31540"/>
    <n v="0.38"/>
  </r>
  <r>
    <x v="249"/>
    <d v="2024-07-09T00:00:00"/>
    <x v="6"/>
    <x v="2"/>
    <s v="Ahmed Mohamed"/>
    <x v="2"/>
    <x v="4"/>
    <x v="4"/>
    <n v="9"/>
    <n v="12900"/>
    <n v="116100"/>
    <n v="69660"/>
    <n v="46440"/>
    <n v="0.4"/>
  </r>
  <r>
    <x v="250"/>
    <d v="2024-07-10T00:00:00"/>
    <x v="6"/>
    <x v="2"/>
    <s v="Dina Youssef"/>
    <x v="3"/>
    <x v="2"/>
    <x v="2"/>
    <n v="2"/>
    <n v="2300"/>
    <n v="4600"/>
    <n v="2070"/>
    <n v="2530"/>
    <n v="0.55000000000000004"/>
  </r>
  <r>
    <x v="251"/>
    <d v="2024-07-11T00:00:00"/>
    <x v="6"/>
    <x v="2"/>
    <s v="Ahmed Mohamed"/>
    <x v="3"/>
    <x v="1"/>
    <x v="1"/>
    <n v="9"/>
    <n v="16500"/>
    <n v="148500"/>
    <n v="86130"/>
    <n v="62370"/>
    <n v="0.42"/>
  </r>
  <r>
    <x v="252"/>
    <d v="2024-07-11T00:00:00"/>
    <x v="6"/>
    <x v="2"/>
    <s v="Sara Ali"/>
    <x v="3"/>
    <x v="7"/>
    <x v="5"/>
    <n v="10"/>
    <n v="7500"/>
    <n v="75000"/>
    <n v="46500"/>
    <n v="28500"/>
    <n v="0.38"/>
  </r>
  <r>
    <x v="253"/>
    <d v="2024-07-11T00:00:00"/>
    <x v="6"/>
    <x v="2"/>
    <s v="Sara Ali"/>
    <x v="3"/>
    <x v="4"/>
    <x v="4"/>
    <n v="9"/>
    <n v="12800"/>
    <n v="115200"/>
    <n v="69120"/>
    <n v="46080"/>
    <n v="0.4"/>
  </r>
  <r>
    <x v="254"/>
    <d v="2024-07-12T00:00:00"/>
    <x v="6"/>
    <x v="2"/>
    <s v="Khaled Mahmoud"/>
    <x v="3"/>
    <x v="6"/>
    <x v="5"/>
    <n v="4"/>
    <n v="28000"/>
    <n v="112000"/>
    <n v="72800"/>
    <n v="39200"/>
    <n v="0.35"/>
  </r>
  <r>
    <x v="255"/>
    <d v="2024-07-13T00:00:00"/>
    <x v="6"/>
    <x v="2"/>
    <s v="Khaled Mahmoud"/>
    <x v="0"/>
    <x v="1"/>
    <x v="1"/>
    <n v="8"/>
    <n v="15900"/>
    <n v="127200"/>
    <n v="73776"/>
    <n v="53424"/>
    <n v="0.42"/>
  </r>
  <r>
    <x v="256"/>
    <d v="2024-07-13T00:00:00"/>
    <x v="6"/>
    <x v="2"/>
    <s v="Omar Hassan"/>
    <x v="0"/>
    <x v="3"/>
    <x v="3"/>
    <n v="3"/>
    <n v="3900"/>
    <n v="11700"/>
    <n v="5616"/>
    <n v="6084"/>
    <n v="0.52"/>
  </r>
  <r>
    <x v="257"/>
    <d v="2024-07-13T00:00:00"/>
    <x v="6"/>
    <x v="2"/>
    <s v="Omar Hassan"/>
    <x v="0"/>
    <x v="7"/>
    <x v="5"/>
    <n v="6"/>
    <n v="8700"/>
    <n v="52200"/>
    <n v="32364"/>
    <n v="19836"/>
    <n v="0.38"/>
  </r>
  <r>
    <x v="258"/>
    <d v="2024-07-13T00:00:00"/>
    <x v="6"/>
    <x v="2"/>
    <s v="Dina Youssef"/>
    <x v="1"/>
    <x v="1"/>
    <x v="1"/>
    <n v="7"/>
    <n v="15200"/>
    <n v="106400"/>
    <n v="61712"/>
    <n v="44688"/>
    <n v="0.42"/>
  </r>
  <r>
    <x v="259"/>
    <d v="2024-07-15T00:00:00"/>
    <x v="6"/>
    <x v="2"/>
    <s v="Khaled Mahmoud"/>
    <x v="2"/>
    <x v="5"/>
    <x v="5"/>
    <n v="7"/>
    <n v="8300"/>
    <n v="58100"/>
    <n v="34860"/>
    <n v="23240"/>
    <n v="0.4"/>
  </r>
  <r>
    <x v="260"/>
    <d v="2024-07-16T00:00:00"/>
    <x v="6"/>
    <x v="2"/>
    <s v="Khaled Mahmoud"/>
    <x v="2"/>
    <x v="3"/>
    <x v="3"/>
    <n v="8"/>
    <n v="3700"/>
    <n v="29600"/>
    <n v="14208"/>
    <n v="15392"/>
    <n v="0.52"/>
  </r>
  <r>
    <x v="261"/>
    <d v="2024-07-16T00:00:00"/>
    <x v="6"/>
    <x v="2"/>
    <s v="Sara Ali"/>
    <x v="1"/>
    <x v="7"/>
    <x v="5"/>
    <n v="1"/>
    <n v="8200"/>
    <n v="8200"/>
    <n v="5084"/>
    <n v="3116"/>
    <n v="0.38"/>
  </r>
  <r>
    <x v="262"/>
    <d v="2024-07-17T00:00:00"/>
    <x v="6"/>
    <x v="2"/>
    <s v="Omar Hassan"/>
    <x v="0"/>
    <x v="1"/>
    <x v="1"/>
    <n v="1"/>
    <n v="14500"/>
    <n v="14500"/>
    <n v="8410"/>
    <n v="6090"/>
    <n v="0.42"/>
  </r>
  <r>
    <x v="263"/>
    <d v="2024-07-17T00:00:00"/>
    <x v="6"/>
    <x v="2"/>
    <s v="Dina Youssef"/>
    <x v="0"/>
    <x v="2"/>
    <x v="2"/>
    <n v="6"/>
    <n v="2400"/>
    <n v="14400"/>
    <n v="6480"/>
    <n v="7920"/>
    <n v="0.55000000000000004"/>
  </r>
  <r>
    <x v="264"/>
    <d v="2024-07-17T00:00:00"/>
    <x v="6"/>
    <x v="2"/>
    <s v="Sara Ali"/>
    <x v="1"/>
    <x v="4"/>
    <x v="4"/>
    <n v="9"/>
    <n v="13000"/>
    <n v="117000"/>
    <n v="70200"/>
    <n v="46800"/>
    <n v="0.4"/>
  </r>
  <r>
    <x v="265"/>
    <d v="2024-07-21T00:00:00"/>
    <x v="6"/>
    <x v="2"/>
    <s v="Khaled Mahmoud"/>
    <x v="3"/>
    <x v="0"/>
    <x v="0"/>
    <n v="1"/>
    <n v="4500"/>
    <n v="4500"/>
    <n v="2475"/>
    <n v="2025"/>
    <n v="0.45"/>
  </r>
  <r>
    <x v="266"/>
    <d v="2024-07-21T00:00:00"/>
    <x v="6"/>
    <x v="2"/>
    <s v="Nour Ibrahim"/>
    <x v="2"/>
    <x v="6"/>
    <x v="5"/>
    <n v="2"/>
    <n v="24200"/>
    <n v="48400"/>
    <n v="31460"/>
    <n v="16940"/>
    <n v="0.35"/>
  </r>
  <r>
    <x v="267"/>
    <d v="2024-07-21T00:00:00"/>
    <x v="6"/>
    <x v="2"/>
    <s v="Omar Hassan"/>
    <x v="4"/>
    <x v="0"/>
    <x v="0"/>
    <n v="4"/>
    <n v="5400"/>
    <n v="21600"/>
    <n v="11880"/>
    <n v="9720"/>
    <n v="0.45"/>
  </r>
  <r>
    <x v="268"/>
    <d v="2024-07-24T00:00:00"/>
    <x v="6"/>
    <x v="2"/>
    <s v="Dina Youssef"/>
    <x v="5"/>
    <x v="3"/>
    <x v="3"/>
    <n v="8"/>
    <n v="3800"/>
    <n v="30400"/>
    <n v="14592"/>
    <n v="15808"/>
    <n v="0.52"/>
  </r>
  <r>
    <x v="269"/>
    <d v="2024-07-24T00:00:00"/>
    <x v="6"/>
    <x v="2"/>
    <s v="Dina Youssef"/>
    <x v="2"/>
    <x v="6"/>
    <x v="5"/>
    <n v="3"/>
    <n v="22800"/>
    <n v="68400"/>
    <n v="44460"/>
    <n v="23940"/>
    <n v="0.35"/>
  </r>
  <r>
    <x v="270"/>
    <d v="2024-07-25T00:00:00"/>
    <x v="6"/>
    <x v="2"/>
    <s v="Khaled Mahmoud"/>
    <x v="1"/>
    <x v="1"/>
    <x v="1"/>
    <n v="1"/>
    <n v="13700"/>
    <n v="13700"/>
    <n v="7946"/>
    <n v="5754"/>
    <n v="0.42"/>
  </r>
  <r>
    <x v="271"/>
    <d v="2024-07-26T00:00:00"/>
    <x v="6"/>
    <x v="2"/>
    <s v="Ahmed Mohamed"/>
    <x v="2"/>
    <x v="3"/>
    <x v="3"/>
    <n v="7"/>
    <n v="3400"/>
    <n v="23800"/>
    <n v="11424"/>
    <n v="12376"/>
    <n v="0.52"/>
  </r>
  <r>
    <x v="272"/>
    <d v="2024-07-28T00:00:00"/>
    <x v="6"/>
    <x v="2"/>
    <s v="Omar Hassan"/>
    <x v="0"/>
    <x v="5"/>
    <x v="5"/>
    <n v="8"/>
    <n v="9700"/>
    <n v="77600"/>
    <n v="46560"/>
    <n v="31040"/>
    <n v="0.4"/>
  </r>
  <r>
    <x v="273"/>
    <d v="2024-07-28T00:00:00"/>
    <x v="6"/>
    <x v="2"/>
    <s v="Dina Youssef"/>
    <x v="0"/>
    <x v="4"/>
    <x v="4"/>
    <n v="6"/>
    <n v="11200"/>
    <n v="67200"/>
    <n v="40320"/>
    <n v="26880"/>
    <n v="0.4"/>
  </r>
  <r>
    <x v="274"/>
    <d v="2024-07-28T00:00:00"/>
    <x v="6"/>
    <x v="2"/>
    <s v="Khaled Mahmoud"/>
    <x v="5"/>
    <x v="7"/>
    <x v="5"/>
    <n v="3"/>
    <n v="7800"/>
    <n v="23400"/>
    <n v="14508"/>
    <n v="8892"/>
    <n v="0.38"/>
  </r>
  <r>
    <x v="275"/>
    <d v="2024-07-28T00:00:00"/>
    <x v="6"/>
    <x v="2"/>
    <s v="Sara Ali"/>
    <x v="2"/>
    <x v="5"/>
    <x v="5"/>
    <n v="5"/>
    <n v="8400"/>
    <n v="42000"/>
    <n v="25200"/>
    <n v="16800"/>
    <n v="0.4"/>
  </r>
  <r>
    <x v="276"/>
    <d v="2024-07-29T00:00:00"/>
    <x v="6"/>
    <x v="2"/>
    <s v="Khaled Mahmoud"/>
    <x v="0"/>
    <x v="5"/>
    <x v="5"/>
    <n v="7"/>
    <n v="8700"/>
    <n v="60900"/>
    <n v="36540"/>
    <n v="24360"/>
    <n v="0.4"/>
  </r>
  <r>
    <x v="277"/>
    <d v="2024-07-29T00:00:00"/>
    <x v="6"/>
    <x v="2"/>
    <s v="Khaled Mahmoud"/>
    <x v="5"/>
    <x v="7"/>
    <x v="5"/>
    <n v="2"/>
    <n v="7500"/>
    <n v="15000"/>
    <n v="9300"/>
    <n v="5700"/>
    <n v="0.38"/>
  </r>
  <r>
    <x v="278"/>
    <d v="2024-07-31T00:00:00"/>
    <x v="6"/>
    <x v="2"/>
    <s v="Nour Ibrahim"/>
    <x v="5"/>
    <x v="2"/>
    <x v="2"/>
    <n v="7"/>
    <n v="2700"/>
    <n v="18900"/>
    <n v="8505"/>
    <n v="10395"/>
    <n v="0.55000000000000004"/>
  </r>
  <r>
    <x v="279"/>
    <d v="2024-07-31T00:00:00"/>
    <x v="6"/>
    <x v="2"/>
    <s v="Omar Hassan"/>
    <x v="1"/>
    <x v="7"/>
    <x v="5"/>
    <n v="9"/>
    <n v="7600"/>
    <n v="68400"/>
    <n v="42408"/>
    <n v="25992"/>
    <n v="0.38"/>
  </r>
  <r>
    <x v="280"/>
    <d v="2024-08-01T00:00:00"/>
    <x v="7"/>
    <x v="2"/>
    <s v="Sara Ali"/>
    <x v="5"/>
    <x v="0"/>
    <x v="0"/>
    <n v="6"/>
    <n v="4700"/>
    <n v="28200"/>
    <n v="15510"/>
    <n v="12690"/>
    <n v="0.45"/>
  </r>
  <r>
    <x v="281"/>
    <d v="2024-08-02T00:00:00"/>
    <x v="7"/>
    <x v="2"/>
    <s v="Dina Youssef"/>
    <x v="3"/>
    <x v="1"/>
    <x v="1"/>
    <n v="4"/>
    <n v="17000"/>
    <n v="68000"/>
    <n v="39440"/>
    <n v="28560"/>
    <n v="0.42"/>
  </r>
  <r>
    <x v="282"/>
    <d v="2024-08-02T00:00:00"/>
    <x v="7"/>
    <x v="2"/>
    <s v="Omar Hassan"/>
    <x v="1"/>
    <x v="2"/>
    <x v="2"/>
    <n v="3"/>
    <n v="2900"/>
    <n v="8700"/>
    <n v="3915"/>
    <n v="4785"/>
    <n v="0.55000000000000004"/>
  </r>
  <r>
    <x v="283"/>
    <d v="2024-08-02T00:00:00"/>
    <x v="7"/>
    <x v="2"/>
    <s v="Ahmed Mohamed"/>
    <x v="1"/>
    <x v="6"/>
    <x v="5"/>
    <n v="2"/>
    <n v="24000"/>
    <n v="48000"/>
    <n v="31200"/>
    <n v="16800"/>
    <n v="0.35"/>
  </r>
  <r>
    <x v="284"/>
    <d v="2024-08-02T00:00:00"/>
    <x v="7"/>
    <x v="2"/>
    <s v="Dina Youssef"/>
    <x v="1"/>
    <x v="6"/>
    <x v="5"/>
    <n v="6"/>
    <n v="27400"/>
    <n v="164400"/>
    <n v="106860"/>
    <n v="57540"/>
    <n v="0.35"/>
  </r>
  <r>
    <x v="285"/>
    <d v="2024-08-04T00:00:00"/>
    <x v="7"/>
    <x v="2"/>
    <s v="Sara Ali"/>
    <x v="1"/>
    <x v="6"/>
    <x v="5"/>
    <n v="4"/>
    <n v="22700"/>
    <n v="90800"/>
    <n v="59020"/>
    <n v="31780"/>
    <n v="0.35"/>
  </r>
  <r>
    <x v="286"/>
    <d v="2024-08-04T00:00:00"/>
    <x v="7"/>
    <x v="2"/>
    <s v="Omar Hassan"/>
    <x v="0"/>
    <x v="1"/>
    <x v="1"/>
    <n v="4"/>
    <n v="14500"/>
    <n v="58000"/>
    <n v="33640"/>
    <n v="24360"/>
    <n v="0.42"/>
  </r>
  <r>
    <x v="287"/>
    <d v="2024-08-05T00:00:00"/>
    <x v="7"/>
    <x v="2"/>
    <s v="Omar Hassan"/>
    <x v="4"/>
    <x v="4"/>
    <x v="4"/>
    <n v="3"/>
    <n v="12400"/>
    <n v="37200"/>
    <n v="22320"/>
    <n v="14880"/>
    <n v="0.4"/>
  </r>
  <r>
    <x v="288"/>
    <d v="2024-08-05T00:00:00"/>
    <x v="7"/>
    <x v="2"/>
    <s v="Khaled Mahmoud"/>
    <x v="2"/>
    <x v="4"/>
    <x v="4"/>
    <n v="3"/>
    <n v="12100"/>
    <n v="36300"/>
    <n v="21780"/>
    <n v="14520"/>
    <n v="0.4"/>
  </r>
  <r>
    <x v="289"/>
    <d v="2024-08-06T00:00:00"/>
    <x v="7"/>
    <x v="2"/>
    <s v="Khaled Mahmoud"/>
    <x v="0"/>
    <x v="6"/>
    <x v="5"/>
    <n v="3"/>
    <n v="23200"/>
    <n v="69600"/>
    <n v="45240"/>
    <n v="24360"/>
    <n v="0.35"/>
  </r>
  <r>
    <x v="290"/>
    <d v="2024-08-08T00:00:00"/>
    <x v="7"/>
    <x v="2"/>
    <s v="Nour Ibrahim"/>
    <x v="1"/>
    <x v="4"/>
    <x v="4"/>
    <n v="10"/>
    <n v="11600"/>
    <n v="116000"/>
    <n v="69600"/>
    <n v="46400"/>
    <n v="0.4"/>
  </r>
  <r>
    <x v="291"/>
    <d v="2024-08-09T00:00:00"/>
    <x v="7"/>
    <x v="2"/>
    <s v="Dina Youssef"/>
    <x v="4"/>
    <x v="1"/>
    <x v="1"/>
    <n v="8"/>
    <n v="15900"/>
    <n v="127200"/>
    <n v="73776"/>
    <n v="53424"/>
    <n v="0.42"/>
  </r>
  <r>
    <x v="292"/>
    <d v="2024-08-09T00:00:00"/>
    <x v="7"/>
    <x v="2"/>
    <s v="Ahmed Mohamed"/>
    <x v="1"/>
    <x v="7"/>
    <x v="5"/>
    <n v="7"/>
    <n v="8600"/>
    <n v="60200"/>
    <n v="37324"/>
    <n v="22876"/>
    <n v="0.38"/>
  </r>
  <r>
    <x v="293"/>
    <d v="2024-08-10T00:00:00"/>
    <x v="7"/>
    <x v="2"/>
    <s v="Khaled Mahmoud"/>
    <x v="1"/>
    <x v="7"/>
    <x v="5"/>
    <n v="5"/>
    <n v="8700"/>
    <n v="43500"/>
    <n v="26970"/>
    <n v="16530"/>
    <n v="0.38"/>
  </r>
  <r>
    <x v="294"/>
    <d v="2024-08-10T00:00:00"/>
    <x v="7"/>
    <x v="2"/>
    <s v="Khaled Mahmoud"/>
    <x v="0"/>
    <x v="1"/>
    <x v="1"/>
    <n v="2"/>
    <n v="15600"/>
    <n v="31200"/>
    <n v="18096"/>
    <n v="13104"/>
    <n v="0.42"/>
  </r>
  <r>
    <x v="295"/>
    <d v="2024-08-12T00:00:00"/>
    <x v="7"/>
    <x v="2"/>
    <s v="Dina Youssef"/>
    <x v="2"/>
    <x v="4"/>
    <x v="4"/>
    <n v="7"/>
    <n v="12600"/>
    <n v="88200"/>
    <n v="52920"/>
    <n v="35280"/>
    <n v="0.4"/>
  </r>
  <r>
    <x v="296"/>
    <d v="2024-08-12T00:00:00"/>
    <x v="7"/>
    <x v="2"/>
    <s v="Sara Ali"/>
    <x v="3"/>
    <x v="5"/>
    <x v="5"/>
    <n v="10"/>
    <n v="8400"/>
    <n v="84000"/>
    <n v="50400"/>
    <n v="33600"/>
    <n v="0.4"/>
  </r>
  <r>
    <x v="297"/>
    <d v="2024-08-12T00:00:00"/>
    <x v="7"/>
    <x v="2"/>
    <s v="Nour Ibrahim"/>
    <x v="1"/>
    <x v="6"/>
    <x v="5"/>
    <n v="4"/>
    <n v="25100"/>
    <n v="100400"/>
    <n v="65260"/>
    <n v="35140"/>
    <n v="0.35"/>
  </r>
  <r>
    <x v="298"/>
    <d v="2024-08-12T00:00:00"/>
    <x v="7"/>
    <x v="2"/>
    <s v="Dina Youssef"/>
    <x v="2"/>
    <x v="6"/>
    <x v="5"/>
    <n v="4"/>
    <n v="23300"/>
    <n v="93200"/>
    <n v="60580"/>
    <n v="32620"/>
    <n v="0.35"/>
  </r>
  <r>
    <x v="299"/>
    <d v="2024-08-13T00:00:00"/>
    <x v="7"/>
    <x v="2"/>
    <s v="Nour Ibrahim"/>
    <x v="3"/>
    <x v="3"/>
    <x v="3"/>
    <n v="3"/>
    <n v="3400"/>
    <n v="10200"/>
    <n v="4896"/>
    <n v="5304"/>
    <n v="0.52"/>
  </r>
  <r>
    <x v="300"/>
    <d v="2024-08-14T00:00:00"/>
    <x v="7"/>
    <x v="2"/>
    <s v="Ahmed Mohamed"/>
    <x v="0"/>
    <x v="4"/>
    <x v="4"/>
    <n v="9"/>
    <n v="11000"/>
    <n v="99000"/>
    <n v="59400"/>
    <n v="39600"/>
    <n v="0.4"/>
  </r>
  <r>
    <x v="301"/>
    <d v="2024-08-14T00:00:00"/>
    <x v="7"/>
    <x v="2"/>
    <s v="Sara Ali"/>
    <x v="2"/>
    <x v="6"/>
    <x v="5"/>
    <n v="9"/>
    <n v="23800"/>
    <n v="214200"/>
    <n v="139230"/>
    <n v="74970"/>
    <n v="0.35"/>
  </r>
  <r>
    <x v="302"/>
    <d v="2024-08-14T00:00:00"/>
    <x v="7"/>
    <x v="2"/>
    <s v="Ahmed Mohamed"/>
    <x v="2"/>
    <x v="3"/>
    <x v="3"/>
    <n v="9"/>
    <n v="3400"/>
    <n v="30600"/>
    <n v="14688"/>
    <n v="15912"/>
    <n v="0.52"/>
  </r>
  <r>
    <x v="303"/>
    <d v="2024-08-16T00:00:00"/>
    <x v="7"/>
    <x v="2"/>
    <s v="Ahmed Mohamed"/>
    <x v="0"/>
    <x v="1"/>
    <x v="1"/>
    <n v="10"/>
    <n v="13800"/>
    <n v="138000"/>
    <n v="80040"/>
    <n v="57960"/>
    <n v="0.42"/>
  </r>
  <r>
    <x v="304"/>
    <d v="2024-08-17T00:00:00"/>
    <x v="7"/>
    <x v="2"/>
    <s v="Sara Ali"/>
    <x v="3"/>
    <x v="0"/>
    <x v="0"/>
    <n v="1"/>
    <n v="5500"/>
    <n v="5500"/>
    <n v="3025"/>
    <n v="2475"/>
    <n v="0.45"/>
  </r>
  <r>
    <x v="305"/>
    <d v="2024-08-18T00:00:00"/>
    <x v="7"/>
    <x v="2"/>
    <s v="Khaled Mahmoud"/>
    <x v="4"/>
    <x v="2"/>
    <x v="2"/>
    <n v="8"/>
    <n v="2500"/>
    <n v="20000"/>
    <n v="9000"/>
    <n v="11000"/>
    <n v="0.55000000000000004"/>
  </r>
  <r>
    <x v="306"/>
    <d v="2024-08-18T00:00:00"/>
    <x v="7"/>
    <x v="2"/>
    <s v="Sara Ali"/>
    <x v="1"/>
    <x v="5"/>
    <x v="5"/>
    <n v="6"/>
    <n v="9600"/>
    <n v="57600"/>
    <n v="34560"/>
    <n v="23040"/>
    <n v="0.4"/>
  </r>
  <r>
    <x v="307"/>
    <d v="2024-08-18T00:00:00"/>
    <x v="7"/>
    <x v="2"/>
    <s v="Dina Youssef"/>
    <x v="1"/>
    <x v="0"/>
    <x v="0"/>
    <n v="10"/>
    <n v="5500"/>
    <n v="55000"/>
    <n v="30250"/>
    <n v="24750"/>
    <n v="0.45"/>
  </r>
  <r>
    <x v="308"/>
    <d v="2024-08-18T00:00:00"/>
    <x v="7"/>
    <x v="2"/>
    <s v="Ahmed Mohamed"/>
    <x v="2"/>
    <x v="1"/>
    <x v="1"/>
    <n v="4"/>
    <n v="13800"/>
    <n v="55200"/>
    <n v="32016"/>
    <n v="23184"/>
    <n v="0.42"/>
  </r>
  <r>
    <x v="309"/>
    <d v="2024-08-19T00:00:00"/>
    <x v="7"/>
    <x v="2"/>
    <s v="Omar Hassan"/>
    <x v="0"/>
    <x v="4"/>
    <x v="4"/>
    <n v="2"/>
    <n v="11500"/>
    <n v="23000"/>
    <n v="13800"/>
    <n v="9200"/>
    <n v="0.4"/>
  </r>
  <r>
    <x v="310"/>
    <d v="2024-08-19T00:00:00"/>
    <x v="7"/>
    <x v="2"/>
    <s v="Dina Youssef"/>
    <x v="0"/>
    <x v="1"/>
    <x v="1"/>
    <n v="1"/>
    <n v="13800"/>
    <n v="13800"/>
    <n v="8004"/>
    <n v="5796"/>
    <n v="0.42"/>
  </r>
  <r>
    <x v="311"/>
    <d v="2024-08-20T00:00:00"/>
    <x v="7"/>
    <x v="2"/>
    <s v="Ahmed Mohamed"/>
    <x v="5"/>
    <x v="4"/>
    <x v="4"/>
    <n v="6"/>
    <n v="11700"/>
    <n v="70200"/>
    <n v="42120"/>
    <n v="28080"/>
    <n v="0.4"/>
  </r>
  <r>
    <x v="312"/>
    <d v="2024-08-20T00:00:00"/>
    <x v="7"/>
    <x v="2"/>
    <s v="Nour Ibrahim"/>
    <x v="1"/>
    <x v="1"/>
    <x v="1"/>
    <n v="9"/>
    <n v="16000"/>
    <n v="144000"/>
    <n v="83520"/>
    <n v="60480"/>
    <n v="0.42"/>
  </r>
  <r>
    <x v="313"/>
    <d v="2024-08-20T00:00:00"/>
    <x v="7"/>
    <x v="2"/>
    <s v="Dina Youssef"/>
    <x v="3"/>
    <x v="3"/>
    <x v="3"/>
    <n v="2"/>
    <n v="3200"/>
    <n v="6400"/>
    <n v="3072"/>
    <n v="3328"/>
    <n v="0.52"/>
  </r>
  <r>
    <x v="314"/>
    <d v="2024-08-20T00:00:00"/>
    <x v="7"/>
    <x v="2"/>
    <s v="Omar Hassan"/>
    <x v="5"/>
    <x v="3"/>
    <x v="3"/>
    <n v="2"/>
    <n v="3500"/>
    <n v="7000"/>
    <n v="3360"/>
    <n v="3640"/>
    <n v="0.52"/>
  </r>
  <r>
    <x v="315"/>
    <d v="2024-08-21T00:00:00"/>
    <x v="7"/>
    <x v="2"/>
    <s v="Dina Youssef"/>
    <x v="4"/>
    <x v="6"/>
    <x v="5"/>
    <n v="7"/>
    <n v="27000"/>
    <n v="189000"/>
    <n v="122850"/>
    <n v="66150"/>
    <n v="0.35"/>
  </r>
  <r>
    <x v="316"/>
    <d v="2024-08-22T00:00:00"/>
    <x v="7"/>
    <x v="2"/>
    <s v="Ahmed Mohamed"/>
    <x v="0"/>
    <x v="2"/>
    <x v="2"/>
    <n v="6"/>
    <n v="2400"/>
    <n v="14400"/>
    <n v="6480"/>
    <n v="7920"/>
    <n v="0.55000000000000004"/>
  </r>
  <r>
    <x v="317"/>
    <d v="2024-08-22T00:00:00"/>
    <x v="7"/>
    <x v="2"/>
    <s v="Dina Youssef"/>
    <x v="2"/>
    <x v="0"/>
    <x v="0"/>
    <n v="1"/>
    <n v="5400"/>
    <n v="5400"/>
    <n v="2970"/>
    <n v="2430"/>
    <n v="0.45"/>
  </r>
  <r>
    <x v="318"/>
    <d v="2024-08-23T00:00:00"/>
    <x v="7"/>
    <x v="2"/>
    <s v="Nour Ibrahim"/>
    <x v="1"/>
    <x v="4"/>
    <x v="4"/>
    <n v="10"/>
    <n v="13400"/>
    <n v="134000"/>
    <n v="80400"/>
    <n v="53600"/>
    <n v="0.4"/>
  </r>
  <r>
    <x v="319"/>
    <d v="2024-08-23T00:00:00"/>
    <x v="7"/>
    <x v="2"/>
    <s v="Omar Hassan"/>
    <x v="3"/>
    <x v="2"/>
    <x v="2"/>
    <n v="4"/>
    <n v="2900"/>
    <n v="11600"/>
    <n v="5220"/>
    <n v="6380"/>
    <n v="0.55000000000000004"/>
  </r>
  <r>
    <x v="320"/>
    <d v="2024-08-24T00:00:00"/>
    <x v="7"/>
    <x v="2"/>
    <s v="Nour Ibrahim"/>
    <x v="2"/>
    <x v="0"/>
    <x v="0"/>
    <n v="1"/>
    <n v="5100"/>
    <n v="5100"/>
    <n v="2805"/>
    <n v="2295"/>
    <n v="0.45"/>
  </r>
  <r>
    <x v="321"/>
    <d v="2024-08-24T00:00:00"/>
    <x v="7"/>
    <x v="2"/>
    <s v="Dina Youssef"/>
    <x v="0"/>
    <x v="2"/>
    <x v="2"/>
    <n v="5"/>
    <n v="2500"/>
    <n v="12500"/>
    <n v="5625"/>
    <n v="6875"/>
    <n v="0.55000000000000004"/>
  </r>
  <r>
    <x v="322"/>
    <d v="2024-08-24T00:00:00"/>
    <x v="7"/>
    <x v="2"/>
    <s v="Sara Ali"/>
    <x v="3"/>
    <x v="2"/>
    <x v="2"/>
    <n v="3"/>
    <n v="2700"/>
    <n v="8100"/>
    <n v="3645"/>
    <n v="4455"/>
    <n v="0.55000000000000004"/>
  </r>
  <r>
    <x v="323"/>
    <d v="2024-08-25T00:00:00"/>
    <x v="7"/>
    <x v="2"/>
    <s v="Khaled Mahmoud"/>
    <x v="3"/>
    <x v="1"/>
    <x v="1"/>
    <n v="8"/>
    <n v="17100"/>
    <n v="136800"/>
    <n v="79344"/>
    <n v="57456"/>
    <n v="0.42"/>
  </r>
  <r>
    <x v="324"/>
    <d v="2024-08-26T00:00:00"/>
    <x v="7"/>
    <x v="2"/>
    <s v="Khaled Mahmoud"/>
    <x v="5"/>
    <x v="5"/>
    <x v="5"/>
    <n v="4"/>
    <n v="9100"/>
    <n v="36400"/>
    <n v="21840"/>
    <n v="14560"/>
    <n v="0.4"/>
  </r>
  <r>
    <x v="325"/>
    <d v="2024-08-26T00:00:00"/>
    <x v="7"/>
    <x v="2"/>
    <s v="Nour Ibrahim"/>
    <x v="1"/>
    <x v="3"/>
    <x v="3"/>
    <n v="7"/>
    <n v="3200"/>
    <n v="22400"/>
    <n v="10752"/>
    <n v="11648"/>
    <n v="0.52"/>
  </r>
  <r>
    <x v="326"/>
    <d v="2024-08-27T00:00:00"/>
    <x v="7"/>
    <x v="2"/>
    <s v="Ahmed Mohamed"/>
    <x v="5"/>
    <x v="6"/>
    <x v="5"/>
    <n v="2"/>
    <n v="26700"/>
    <n v="53400"/>
    <n v="34710"/>
    <n v="18690"/>
    <n v="0.35"/>
  </r>
  <r>
    <x v="327"/>
    <d v="2024-08-27T00:00:00"/>
    <x v="7"/>
    <x v="2"/>
    <s v="Ahmed Mohamed"/>
    <x v="5"/>
    <x v="7"/>
    <x v="5"/>
    <n v="9"/>
    <n v="9200"/>
    <n v="82800"/>
    <n v="51336"/>
    <n v="31464"/>
    <n v="0.38"/>
  </r>
  <r>
    <x v="328"/>
    <d v="2024-08-28T00:00:00"/>
    <x v="7"/>
    <x v="2"/>
    <s v="Omar Hassan"/>
    <x v="2"/>
    <x v="2"/>
    <x v="2"/>
    <n v="8"/>
    <n v="2400"/>
    <n v="19200"/>
    <n v="8640"/>
    <n v="10560"/>
    <n v="0.55000000000000004"/>
  </r>
  <r>
    <x v="329"/>
    <d v="2024-08-29T00:00:00"/>
    <x v="7"/>
    <x v="2"/>
    <s v="Nour Ibrahim"/>
    <x v="4"/>
    <x v="2"/>
    <x v="2"/>
    <n v="3"/>
    <n v="2500"/>
    <n v="7500"/>
    <n v="3375"/>
    <n v="4125"/>
    <n v="0.55000000000000004"/>
  </r>
  <r>
    <x v="330"/>
    <d v="2024-08-29T00:00:00"/>
    <x v="7"/>
    <x v="2"/>
    <s v="Sara Ali"/>
    <x v="1"/>
    <x v="6"/>
    <x v="5"/>
    <n v="9"/>
    <n v="26900"/>
    <n v="242100"/>
    <n v="157365"/>
    <n v="84735"/>
    <n v="0.35"/>
  </r>
  <r>
    <x v="331"/>
    <d v="2024-08-30T00:00:00"/>
    <x v="7"/>
    <x v="2"/>
    <s v="Sara Ali"/>
    <x v="2"/>
    <x v="5"/>
    <x v="5"/>
    <n v="9"/>
    <n v="8400"/>
    <n v="75600"/>
    <n v="45360"/>
    <n v="30240"/>
    <n v="0.4"/>
  </r>
  <r>
    <x v="332"/>
    <d v="2024-08-31T00:00:00"/>
    <x v="7"/>
    <x v="2"/>
    <s v="Dina Youssef"/>
    <x v="2"/>
    <x v="5"/>
    <x v="5"/>
    <n v="4"/>
    <n v="8700"/>
    <n v="34800"/>
    <n v="20880"/>
    <n v="13920"/>
    <n v="0.4"/>
  </r>
  <r>
    <x v="333"/>
    <d v="2024-08-31T00:00:00"/>
    <x v="7"/>
    <x v="2"/>
    <s v="Ahmed Mohamed"/>
    <x v="5"/>
    <x v="6"/>
    <x v="5"/>
    <n v="3"/>
    <n v="26500"/>
    <n v="79500"/>
    <n v="51675"/>
    <n v="27825"/>
    <n v="0.35"/>
  </r>
  <r>
    <x v="334"/>
    <d v="2024-09-01T00:00:00"/>
    <x v="8"/>
    <x v="2"/>
    <s v="Ahmed Mohamed"/>
    <x v="4"/>
    <x v="7"/>
    <x v="5"/>
    <n v="9"/>
    <n v="7300"/>
    <n v="65700"/>
    <n v="40734"/>
    <n v="24966"/>
    <n v="0.38"/>
  </r>
  <r>
    <x v="335"/>
    <d v="2024-09-01T00:00:00"/>
    <x v="8"/>
    <x v="2"/>
    <s v="Omar Hassan"/>
    <x v="5"/>
    <x v="1"/>
    <x v="1"/>
    <n v="1"/>
    <n v="17000"/>
    <n v="17000"/>
    <n v="9860"/>
    <n v="7140"/>
    <n v="0.42"/>
  </r>
  <r>
    <x v="336"/>
    <d v="2024-09-02T00:00:00"/>
    <x v="8"/>
    <x v="2"/>
    <s v="Omar Hassan"/>
    <x v="1"/>
    <x v="2"/>
    <x v="2"/>
    <n v="9"/>
    <n v="2400"/>
    <n v="21600"/>
    <n v="9720"/>
    <n v="11880"/>
    <n v="0.55000000000000004"/>
  </r>
  <r>
    <x v="337"/>
    <d v="2024-09-04T00:00:00"/>
    <x v="8"/>
    <x v="2"/>
    <s v="Omar Hassan"/>
    <x v="2"/>
    <x v="5"/>
    <x v="5"/>
    <n v="10"/>
    <n v="9100"/>
    <n v="91000"/>
    <n v="54600"/>
    <n v="36400"/>
    <n v="0.4"/>
  </r>
  <r>
    <x v="338"/>
    <d v="2024-09-04T00:00:00"/>
    <x v="8"/>
    <x v="2"/>
    <s v="Dina Youssef"/>
    <x v="3"/>
    <x v="1"/>
    <x v="1"/>
    <n v="8"/>
    <n v="15300"/>
    <n v="122400"/>
    <n v="70992"/>
    <n v="51408"/>
    <n v="0.42"/>
  </r>
  <r>
    <x v="339"/>
    <d v="2024-09-05T00:00:00"/>
    <x v="8"/>
    <x v="2"/>
    <s v="Sara Ali"/>
    <x v="4"/>
    <x v="4"/>
    <x v="4"/>
    <n v="9"/>
    <n v="13700"/>
    <n v="123300"/>
    <n v="73980"/>
    <n v="49320"/>
    <n v="0.4"/>
  </r>
  <r>
    <x v="340"/>
    <d v="2024-09-06T00:00:00"/>
    <x v="8"/>
    <x v="2"/>
    <s v="Ahmed Mohamed"/>
    <x v="1"/>
    <x v="7"/>
    <x v="5"/>
    <n v="4"/>
    <n v="7600"/>
    <n v="30400"/>
    <n v="18848"/>
    <n v="11552"/>
    <n v="0.38"/>
  </r>
  <r>
    <x v="341"/>
    <d v="2024-09-06T00:00:00"/>
    <x v="8"/>
    <x v="2"/>
    <s v="Omar Hassan"/>
    <x v="2"/>
    <x v="2"/>
    <x v="2"/>
    <n v="5"/>
    <n v="2500"/>
    <n v="12500"/>
    <n v="5625"/>
    <n v="6875"/>
    <n v="0.55000000000000004"/>
  </r>
  <r>
    <x v="342"/>
    <d v="2024-09-07T00:00:00"/>
    <x v="8"/>
    <x v="2"/>
    <s v="Ahmed Mohamed"/>
    <x v="5"/>
    <x v="4"/>
    <x v="4"/>
    <n v="8"/>
    <n v="13500"/>
    <n v="108000"/>
    <n v="64800"/>
    <n v="43200"/>
    <n v="0.4"/>
  </r>
  <r>
    <x v="343"/>
    <d v="2024-09-08T00:00:00"/>
    <x v="8"/>
    <x v="2"/>
    <s v="Nour Ibrahim"/>
    <x v="4"/>
    <x v="2"/>
    <x v="2"/>
    <n v="2"/>
    <n v="2300"/>
    <n v="4600"/>
    <n v="2070"/>
    <n v="2530"/>
    <n v="0.55000000000000004"/>
  </r>
  <r>
    <x v="344"/>
    <d v="2024-09-09T00:00:00"/>
    <x v="8"/>
    <x v="2"/>
    <s v="Sara Ali"/>
    <x v="5"/>
    <x v="4"/>
    <x v="4"/>
    <n v="9"/>
    <n v="11100"/>
    <n v="99900"/>
    <n v="59940"/>
    <n v="39960"/>
    <n v="0.4"/>
  </r>
  <r>
    <x v="345"/>
    <d v="2024-09-09T00:00:00"/>
    <x v="8"/>
    <x v="2"/>
    <s v="Nour Ibrahim"/>
    <x v="3"/>
    <x v="5"/>
    <x v="5"/>
    <n v="10"/>
    <n v="9800"/>
    <n v="98000"/>
    <n v="58800"/>
    <n v="39200"/>
    <n v="0.4"/>
  </r>
  <r>
    <x v="346"/>
    <d v="2024-09-11T00:00:00"/>
    <x v="8"/>
    <x v="2"/>
    <s v="Khaled Mahmoud"/>
    <x v="2"/>
    <x v="0"/>
    <x v="0"/>
    <n v="4"/>
    <n v="5500"/>
    <n v="22000"/>
    <n v="12100"/>
    <n v="9900"/>
    <n v="0.45"/>
  </r>
  <r>
    <x v="347"/>
    <d v="2024-09-11T00:00:00"/>
    <x v="8"/>
    <x v="2"/>
    <s v="Omar Hassan"/>
    <x v="0"/>
    <x v="1"/>
    <x v="1"/>
    <n v="9"/>
    <n v="17000"/>
    <n v="153000"/>
    <n v="88740"/>
    <n v="64260"/>
    <n v="0.42"/>
  </r>
  <r>
    <x v="348"/>
    <d v="2024-09-12T00:00:00"/>
    <x v="8"/>
    <x v="2"/>
    <s v="Nour Ibrahim"/>
    <x v="5"/>
    <x v="0"/>
    <x v="0"/>
    <n v="5"/>
    <n v="5100"/>
    <n v="25500"/>
    <n v="14025"/>
    <n v="11475"/>
    <n v="0.45"/>
  </r>
  <r>
    <x v="349"/>
    <d v="2024-09-12T00:00:00"/>
    <x v="8"/>
    <x v="2"/>
    <s v="Omar Hassan"/>
    <x v="2"/>
    <x v="3"/>
    <x v="3"/>
    <n v="2"/>
    <n v="3900"/>
    <n v="7800"/>
    <n v="3744"/>
    <n v="4056"/>
    <n v="0.52"/>
  </r>
  <r>
    <x v="350"/>
    <d v="2024-09-12T00:00:00"/>
    <x v="8"/>
    <x v="2"/>
    <s v="Nour Ibrahim"/>
    <x v="1"/>
    <x v="0"/>
    <x v="0"/>
    <n v="2"/>
    <n v="5100"/>
    <n v="10200"/>
    <n v="5610"/>
    <n v="4590"/>
    <n v="0.45"/>
  </r>
  <r>
    <x v="351"/>
    <d v="2024-09-13T00:00:00"/>
    <x v="8"/>
    <x v="2"/>
    <s v="Nour Ibrahim"/>
    <x v="2"/>
    <x v="0"/>
    <x v="0"/>
    <n v="5"/>
    <n v="5500"/>
    <n v="27500"/>
    <n v="15125"/>
    <n v="12375"/>
    <n v="0.45"/>
  </r>
  <r>
    <x v="352"/>
    <d v="2024-09-14T00:00:00"/>
    <x v="8"/>
    <x v="2"/>
    <s v="Omar Hassan"/>
    <x v="1"/>
    <x v="0"/>
    <x v="0"/>
    <n v="5"/>
    <n v="5400"/>
    <n v="27000"/>
    <n v="14850"/>
    <n v="12150"/>
    <n v="0.45"/>
  </r>
  <r>
    <x v="353"/>
    <d v="2024-09-15T00:00:00"/>
    <x v="8"/>
    <x v="2"/>
    <s v="Nour Ibrahim"/>
    <x v="4"/>
    <x v="3"/>
    <x v="3"/>
    <n v="9"/>
    <n v="3900"/>
    <n v="35100"/>
    <n v="16848"/>
    <n v="18252"/>
    <n v="0.52"/>
  </r>
  <r>
    <x v="354"/>
    <d v="2024-09-15T00:00:00"/>
    <x v="8"/>
    <x v="2"/>
    <s v="Nour Ibrahim"/>
    <x v="1"/>
    <x v="7"/>
    <x v="5"/>
    <n v="8"/>
    <n v="7300"/>
    <n v="58400"/>
    <n v="36208"/>
    <n v="22192"/>
    <n v="0.38"/>
  </r>
  <r>
    <x v="355"/>
    <d v="2024-09-16T00:00:00"/>
    <x v="8"/>
    <x v="2"/>
    <s v="Nour Ibrahim"/>
    <x v="3"/>
    <x v="0"/>
    <x v="0"/>
    <n v="6"/>
    <n v="5300"/>
    <n v="31800"/>
    <n v="17490"/>
    <n v="14310"/>
    <n v="0.45"/>
  </r>
  <r>
    <x v="356"/>
    <d v="2024-09-16T00:00:00"/>
    <x v="8"/>
    <x v="2"/>
    <s v="Dina Youssef"/>
    <x v="2"/>
    <x v="0"/>
    <x v="0"/>
    <n v="5"/>
    <n v="5500"/>
    <n v="27500"/>
    <n v="15125"/>
    <n v="12375"/>
    <n v="0.45"/>
  </r>
  <r>
    <x v="357"/>
    <d v="2024-09-17T00:00:00"/>
    <x v="8"/>
    <x v="2"/>
    <s v="Omar Hassan"/>
    <x v="0"/>
    <x v="3"/>
    <x v="3"/>
    <n v="9"/>
    <n v="3700"/>
    <n v="33300"/>
    <n v="15984"/>
    <n v="17316"/>
    <n v="0.52"/>
  </r>
  <r>
    <x v="358"/>
    <d v="2024-09-18T00:00:00"/>
    <x v="8"/>
    <x v="2"/>
    <s v="Sara Ali"/>
    <x v="2"/>
    <x v="4"/>
    <x v="4"/>
    <n v="10"/>
    <n v="12000"/>
    <n v="120000"/>
    <n v="72000"/>
    <n v="48000"/>
    <n v="0.4"/>
  </r>
  <r>
    <x v="359"/>
    <d v="2024-09-20T00:00:00"/>
    <x v="8"/>
    <x v="2"/>
    <s v="Sara Ali"/>
    <x v="1"/>
    <x v="2"/>
    <x v="2"/>
    <n v="8"/>
    <n v="2400"/>
    <n v="19200"/>
    <n v="8640"/>
    <n v="10560"/>
    <n v="0.55000000000000004"/>
  </r>
  <r>
    <x v="360"/>
    <d v="2024-09-20T00:00:00"/>
    <x v="8"/>
    <x v="2"/>
    <s v="Nour Ibrahim"/>
    <x v="5"/>
    <x v="6"/>
    <x v="5"/>
    <n v="9"/>
    <n v="26600"/>
    <n v="239400"/>
    <n v="155610"/>
    <n v="83790"/>
    <n v="0.35"/>
  </r>
  <r>
    <x v="361"/>
    <d v="2024-09-20T00:00:00"/>
    <x v="8"/>
    <x v="2"/>
    <s v="Nour Ibrahim"/>
    <x v="2"/>
    <x v="3"/>
    <x v="3"/>
    <n v="9"/>
    <n v="4000"/>
    <n v="36000"/>
    <n v="17280"/>
    <n v="18720"/>
    <n v="0.52"/>
  </r>
  <r>
    <x v="362"/>
    <d v="2024-09-21T00:00:00"/>
    <x v="8"/>
    <x v="2"/>
    <s v="Khaled Mahmoud"/>
    <x v="5"/>
    <x v="7"/>
    <x v="5"/>
    <n v="6"/>
    <n v="8300"/>
    <n v="49800"/>
    <n v="30876"/>
    <n v="18924"/>
    <n v="0.38"/>
  </r>
  <r>
    <x v="363"/>
    <d v="2024-09-23T00:00:00"/>
    <x v="8"/>
    <x v="2"/>
    <s v="Nour Ibrahim"/>
    <x v="0"/>
    <x v="5"/>
    <x v="5"/>
    <n v="5"/>
    <n v="9500"/>
    <n v="47500"/>
    <n v="28500"/>
    <n v="19000"/>
    <n v="0.4"/>
  </r>
  <r>
    <x v="364"/>
    <d v="2024-09-23T00:00:00"/>
    <x v="8"/>
    <x v="2"/>
    <s v="Dina Youssef"/>
    <x v="1"/>
    <x v="5"/>
    <x v="5"/>
    <n v="4"/>
    <n v="8400"/>
    <n v="33600"/>
    <n v="20160"/>
    <n v="13440"/>
    <n v="0.4"/>
  </r>
  <r>
    <x v="365"/>
    <d v="2024-09-23T00:00:00"/>
    <x v="8"/>
    <x v="2"/>
    <s v="Sara Ali"/>
    <x v="2"/>
    <x v="7"/>
    <x v="5"/>
    <n v="3"/>
    <n v="8600"/>
    <n v="25800"/>
    <n v="15996"/>
    <n v="9804"/>
    <n v="0.38"/>
  </r>
  <r>
    <x v="366"/>
    <d v="2024-09-24T00:00:00"/>
    <x v="8"/>
    <x v="2"/>
    <s v="Nour Ibrahim"/>
    <x v="5"/>
    <x v="7"/>
    <x v="5"/>
    <n v="5"/>
    <n v="7900"/>
    <n v="39500"/>
    <n v="24490"/>
    <n v="15010"/>
    <n v="0.38"/>
  </r>
  <r>
    <x v="367"/>
    <d v="2024-09-25T00:00:00"/>
    <x v="8"/>
    <x v="2"/>
    <s v="Ahmed Mohamed"/>
    <x v="1"/>
    <x v="3"/>
    <x v="3"/>
    <n v="4"/>
    <n v="3300"/>
    <n v="13200"/>
    <n v="6336"/>
    <n v="6864"/>
    <n v="0.52"/>
  </r>
  <r>
    <x v="368"/>
    <d v="2024-09-25T00:00:00"/>
    <x v="8"/>
    <x v="2"/>
    <s v="Dina Youssef"/>
    <x v="0"/>
    <x v="6"/>
    <x v="5"/>
    <n v="2"/>
    <n v="27700"/>
    <n v="55400"/>
    <n v="36010"/>
    <n v="19390"/>
    <n v="0.35"/>
  </r>
  <r>
    <x v="369"/>
    <d v="2024-09-26T00:00:00"/>
    <x v="8"/>
    <x v="2"/>
    <s v="Sara Ali"/>
    <x v="1"/>
    <x v="6"/>
    <x v="5"/>
    <n v="10"/>
    <n v="26600"/>
    <n v="266000"/>
    <n v="172900"/>
    <n v="93100"/>
    <n v="0.35"/>
  </r>
  <r>
    <x v="370"/>
    <d v="2024-09-27T00:00:00"/>
    <x v="8"/>
    <x v="2"/>
    <s v="Omar Hassan"/>
    <x v="3"/>
    <x v="6"/>
    <x v="5"/>
    <n v="9"/>
    <n v="26700"/>
    <n v="240300"/>
    <n v="156195"/>
    <n v="84105"/>
    <n v="0.35"/>
  </r>
  <r>
    <x v="371"/>
    <d v="2024-09-27T00:00:00"/>
    <x v="8"/>
    <x v="2"/>
    <s v="Sara Ali"/>
    <x v="2"/>
    <x v="3"/>
    <x v="3"/>
    <n v="5"/>
    <n v="3200"/>
    <n v="16000"/>
    <n v="7680"/>
    <n v="8320"/>
    <n v="0.52"/>
  </r>
  <r>
    <x v="372"/>
    <d v="2024-09-27T00:00:00"/>
    <x v="8"/>
    <x v="2"/>
    <s v="Nour Ibrahim"/>
    <x v="1"/>
    <x v="1"/>
    <x v="1"/>
    <n v="10"/>
    <n v="15700"/>
    <n v="157000"/>
    <n v="91060"/>
    <n v="65940"/>
    <n v="0.42"/>
  </r>
  <r>
    <x v="373"/>
    <d v="2024-09-28T00:00:00"/>
    <x v="8"/>
    <x v="2"/>
    <s v="Omar Hassan"/>
    <x v="4"/>
    <x v="2"/>
    <x v="2"/>
    <n v="8"/>
    <n v="2500"/>
    <n v="20000"/>
    <n v="9000"/>
    <n v="11000"/>
    <n v="0.55000000000000004"/>
  </r>
  <r>
    <x v="374"/>
    <d v="2024-09-29T00:00:00"/>
    <x v="8"/>
    <x v="2"/>
    <s v="Khaled Mahmoud"/>
    <x v="5"/>
    <x v="1"/>
    <x v="1"/>
    <n v="5"/>
    <n v="15500"/>
    <n v="77500"/>
    <n v="44950"/>
    <n v="32550"/>
    <n v="0.42"/>
  </r>
  <r>
    <x v="375"/>
    <d v="2024-10-01T00:00:00"/>
    <x v="9"/>
    <x v="3"/>
    <s v="Omar Hassan"/>
    <x v="3"/>
    <x v="7"/>
    <x v="5"/>
    <n v="8"/>
    <n v="7600"/>
    <n v="60800"/>
    <n v="37696"/>
    <n v="23104"/>
    <n v="0.38"/>
  </r>
  <r>
    <x v="376"/>
    <d v="2024-10-01T00:00:00"/>
    <x v="9"/>
    <x v="3"/>
    <s v="Sara Ali"/>
    <x v="0"/>
    <x v="0"/>
    <x v="0"/>
    <n v="7"/>
    <n v="4500"/>
    <n v="31500"/>
    <n v="17325"/>
    <n v="14175"/>
    <n v="0.45"/>
  </r>
  <r>
    <x v="377"/>
    <d v="2024-10-04T00:00:00"/>
    <x v="9"/>
    <x v="3"/>
    <s v="Ahmed Mohamed"/>
    <x v="1"/>
    <x v="6"/>
    <x v="5"/>
    <n v="1"/>
    <n v="27200"/>
    <n v="27200"/>
    <n v="17680"/>
    <n v="9520"/>
    <n v="0.35"/>
  </r>
  <r>
    <x v="378"/>
    <d v="2024-10-04T00:00:00"/>
    <x v="9"/>
    <x v="3"/>
    <s v="Nour Ibrahim"/>
    <x v="0"/>
    <x v="6"/>
    <x v="5"/>
    <n v="2"/>
    <n v="28300"/>
    <n v="56600"/>
    <n v="36790"/>
    <n v="19810"/>
    <n v="0.35"/>
  </r>
  <r>
    <x v="379"/>
    <d v="2024-10-05T00:00:00"/>
    <x v="9"/>
    <x v="3"/>
    <s v="Ahmed Mohamed"/>
    <x v="3"/>
    <x v="6"/>
    <x v="5"/>
    <n v="8"/>
    <n v="24900"/>
    <n v="199200"/>
    <n v="129480"/>
    <n v="69720"/>
    <n v="0.35"/>
  </r>
  <r>
    <x v="380"/>
    <d v="2024-10-06T00:00:00"/>
    <x v="9"/>
    <x v="3"/>
    <s v="Nour Ibrahim"/>
    <x v="5"/>
    <x v="2"/>
    <x v="2"/>
    <n v="5"/>
    <n v="2600"/>
    <n v="13000"/>
    <n v="5850"/>
    <n v="7150"/>
    <n v="0.55000000000000004"/>
  </r>
  <r>
    <x v="381"/>
    <d v="2024-10-06T00:00:00"/>
    <x v="9"/>
    <x v="3"/>
    <s v="Dina Youssef"/>
    <x v="0"/>
    <x v="5"/>
    <x v="5"/>
    <n v="9"/>
    <n v="8500"/>
    <n v="76500"/>
    <n v="45900"/>
    <n v="30600"/>
    <n v="0.4"/>
  </r>
  <r>
    <x v="382"/>
    <d v="2024-10-06T00:00:00"/>
    <x v="9"/>
    <x v="3"/>
    <s v="Ahmed Mohamed"/>
    <x v="3"/>
    <x v="7"/>
    <x v="5"/>
    <n v="9"/>
    <n v="8600"/>
    <n v="77400"/>
    <n v="47988"/>
    <n v="29412"/>
    <n v="0.38"/>
  </r>
  <r>
    <x v="383"/>
    <d v="2024-10-07T00:00:00"/>
    <x v="9"/>
    <x v="3"/>
    <s v="Sara Ali"/>
    <x v="2"/>
    <x v="2"/>
    <x v="2"/>
    <n v="3"/>
    <n v="2600"/>
    <n v="7800"/>
    <n v="3510"/>
    <n v="4290"/>
    <n v="0.55000000000000004"/>
  </r>
  <r>
    <x v="384"/>
    <d v="2024-10-08T00:00:00"/>
    <x v="9"/>
    <x v="3"/>
    <s v="Omar Hassan"/>
    <x v="2"/>
    <x v="1"/>
    <x v="1"/>
    <n v="8"/>
    <n v="14800"/>
    <n v="118400"/>
    <n v="68672"/>
    <n v="49728"/>
    <n v="0.42"/>
  </r>
  <r>
    <x v="385"/>
    <d v="2024-10-09T00:00:00"/>
    <x v="9"/>
    <x v="3"/>
    <s v="Nour Ibrahim"/>
    <x v="2"/>
    <x v="2"/>
    <x v="2"/>
    <n v="4"/>
    <n v="2500"/>
    <n v="10000"/>
    <n v="4500"/>
    <n v="5500"/>
    <n v="0.55000000000000004"/>
  </r>
  <r>
    <x v="386"/>
    <d v="2024-10-09T00:00:00"/>
    <x v="9"/>
    <x v="3"/>
    <s v="Dina Youssef"/>
    <x v="2"/>
    <x v="3"/>
    <x v="3"/>
    <n v="9"/>
    <n v="3200"/>
    <n v="28800"/>
    <n v="13824"/>
    <n v="14976"/>
    <n v="0.52"/>
  </r>
  <r>
    <x v="387"/>
    <d v="2024-10-10T00:00:00"/>
    <x v="9"/>
    <x v="3"/>
    <s v="Dina Youssef"/>
    <x v="1"/>
    <x v="6"/>
    <x v="5"/>
    <n v="2"/>
    <n v="26800"/>
    <n v="53600"/>
    <n v="34840"/>
    <n v="18760"/>
    <n v="0.35"/>
  </r>
  <r>
    <x v="388"/>
    <d v="2024-10-10T00:00:00"/>
    <x v="9"/>
    <x v="3"/>
    <s v="Omar Hassan"/>
    <x v="4"/>
    <x v="2"/>
    <x v="2"/>
    <n v="4"/>
    <n v="2600"/>
    <n v="10400"/>
    <n v="4680"/>
    <n v="5720"/>
    <n v="0.55000000000000004"/>
  </r>
  <r>
    <x v="389"/>
    <d v="2024-10-10T00:00:00"/>
    <x v="9"/>
    <x v="3"/>
    <s v="Sara Ali"/>
    <x v="1"/>
    <x v="1"/>
    <x v="1"/>
    <n v="9"/>
    <n v="15300"/>
    <n v="137700"/>
    <n v="79866"/>
    <n v="57834"/>
    <n v="0.42"/>
  </r>
  <r>
    <x v="390"/>
    <d v="2024-10-11T00:00:00"/>
    <x v="9"/>
    <x v="3"/>
    <s v="Omar Hassan"/>
    <x v="1"/>
    <x v="3"/>
    <x v="3"/>
    <n v="2"/>
    <n v="3200"/>
    <n v="6400"/>
    <n v="3072"/>
    <n v="3328"/>
    <n v="0.52"/>
  </r>
  <r>
    <x v="391"/>
    <d v="2024-10-12T00:00:00"/>
    <x v="9"/>
    <x v="3"/>
    <s v="Nour Ibrahim"/>
    <x v="4"/>
    <x v="2"/>
    <x v="2"/>
    <n v="2"/>
    <n v="2800"/>
    <n v="5600"/>
    <n v="2520"/>
    <n v="3080"/>
    <n v="0.55000000000000004"/>
  </r>
  <r>
    <x v="392"/>
    <d v="2024-10-12T00:00:00"/>
    <x v="9"/>
    <x v="3"/>
    <s v="Khaled Mahmoud"/>
    <x v="1"/>
    <x v="1"/>
    <x v="1"/>
    <n v="4"/>
    <n v="16300"/>
    <n v="65200"/>
    <n v="37816"/>
    <n v="27384"/>
    <n v="0.42"/>
  </r>
  <r>
    <x v="393"/>
    <d v="2024-10-12T00:00:00"/>
    <x v="9"/>
    <x v="3"/>
    <s v="Nour Ibrahim"/>
    <x v="3"/>
    <x v="2"/>
    <x v="2"/>
    <n v="7"/>
    <n v="2500"/>
    <n v="17500"/>
    <n v="7875"/>
    <n v="9625"/>
    <n v="0.55000000000000004"/>
  </r>
  <r>
    <x v="394"/>
    <d v="2024-10-14T00:00:00"/>
    <x v="9"/>
    <x v="3"/>
    <s v="Ahmed Mohamed"/>
    <x v="4"/>
    <x v="6"/>
    <x v="5"/>
    <n v="5"/>
    <n v="26300"/>
    <n v="131500"/>
    <n v="85475"/>
    <n v="46025"/>
    <n v="0.35"/>
  </r>
  <r>
    <x v="395"/>
    <d v="2024-10-14T00:00:00"/>
    <x v="9"/>
    <x v="3"/>
    <s v="Khaled Mahmoud"/>
    <x v="4"/>
    <x v="3"/>
    <x v="3"/>
    <n v="9"/>
    <n v="4000"/>
    <n v="36000"/>
    <n v="17280"/>
    <n v="18720"/>
    <n v="0.52"/>
  </r>
  <r>
    <x v="396"/>
    <d v="2024-10-16T00:00:00"/>
    <x v="9"/>
    <x v="3"/>
    <s v="Sara Ali"/>
    <x v="5"/>
    <x v="1"/>
    <x v="1"/>
    <n v="6"/>
    <n v="16700"/>
    <n v="100200"/>
    <n v="58116"/>
    <n v="42084"/>
    <n v="0.42"/>
  </r>
  <r>
    <x v="397"/>
    <d v="2024-10-18T00:00:00"/>
    <x v="9"/>
    <x v="3"/>
    <s v="Khaled Mahmoud"/>
    <x v="0"/>
    <x v="2"/>
    <x v="2"/>
    <n v="1"/>
    <n v="2600"/>
    <n v="2600"/>
    <n v="1170"/>
    <n v="1430"/>
    <n v="0.55000000000000004"/>
  </r>
  <r>
    <x v="398"/>
    <d v="2024-10-18T00:00:00"/>
    <x v="9"/>
    <x v="3"/>
    <s v="Omar Hassan"/>
    <x v="4"/>
    <x v="3"/>
    <x v="3"/>
    <n v="8"/>
    <n v="3400"/>
    <n v="27200"/>
    <n v="13056"/>
    <n v="14144"/>
    <n v="0.52"/>
  </r>
  <r>
    <x v="399"/>
    <d v="2024-10-18T00:00:00"/>
    <x v="9"/>
    <x v="3"/>
    <s v="Dina Youssef"/>
    <x v="2"/>
    <x v="0"/>
    <x v="0"/>
    <n v="8"/>
    <n v="5000"/>
    <n v="40000"/>
    <n v="22000"/>
    <n v="18000"/>
    <n v="0.45"/>
  </r>
  <r>
    <x v="400"/>
    <d v="2024-10-18T00:00:00"/>
    <x v="9"/>
    <x v="3"/>
    <s v="Omar Hassan"/>
    <x v="5"/>
    <x v="2"/>
    <x v="2"/>
    <n v="6"/>
    <n v="2600"/>
    <n v="15600"/>
    <n v="7020"/>
    <n v="8580"/>
    <n v="0.55000000000000004"/>
  </r>
  <r>
    <x v="401"/>
    <d v="2024-10-20T00:00:00"/>
    <x v="9"/>
    <x v="3"/>
    <s v="Omar Hassan"/>
    <x v="3"/>
    <x v="7"/>
    <x v="5"/>
    <n v="7"/>
    <n v="8300"/>
    <n v="58100"/>
    <n v="36022"/>
    <n v="22078"/>
    <n v="0.38"/>
  </r>
  <r>
    <x v="402"/>
    <d v="2024-10-20T00:00:00"/>
    <x v="9"/>
    <x v="3"/>
    <s v="Dina Youssef"/>
    <x v="4"/>
    <x v="6"/>
    <x v="5"/>
    <n v="6"/>
    <n v="24100"/>
    <n v="144600"/>
    <n v="93990"/>
    <n v="50610"/>
    <n v="0.35"/>
  </r>
  <r>
    <x v="403"/>
    <d v="2024-10-21T00:00:00"/>
    <x v="9"/>
    <x v="3"/>
    <s v="Ahmed Mohamed"/>
    <x v="3"/>
    <x v="0"/>
    <x v="0"/>
    <n v="5"/>
    <n v="5700"/>
    <n v="28500"/>
    <n v="15675"/>
    <n v="12825"/>
    <n v="0.45"/>
  </r>
  <r>
    <x v="404"/>
    <d v="2024-10-21T00:00:00"/>
    <x v="9"/>
    <x v="3"/>
    <s v="Nour Ibrahim"/>
    <x v="0"/>
    <x v="2"/>
    <x v="2"/>
    <n v="5"/>
    <n v="2700"/>
    <n v="13500"/>
    <n v="6075"/>
    <n v="7425"/>
    <n v="0.55000000000000004"/>
  </r>
  <r>
    <x v="405"/>
    <d v="2024-10-22T00:00:00"/>
    <x v="9"/>
    <x v="3"/>
    <s v="Nour Ibrahim"/>
    <x v="4"/>
    <x v="2"/>
    <x v="2"/>
    <n v="10"/>
    <n v="2700"/>
    <n v="27000"/>
    <n v="12150"/>
    <n v="14850"/>
    <n v="0.55000000000000004"/>
  </r>
  <r>
    <x v="406"/>
    <d v="2024-10-26T00:00:00"/>
    <x v="9"/>
    <x v="3"/>
    <s v="Omar Hassan"/>
    <x v="4"/>
    <x v="3"/>
    <x v="3"/>
    <n v="7"/>
    <n v="3900"/>
    <n v="27300"/>
    <n v="13104"/>
    <n v="14196"/>
    <n v="0.52"/>
  </r>
  <r>
    <x v="407"/>
    <d v="2024-10-26T00:00:00"/>
    <x v="9"/>
    <x v="3"/>
    <s v="Ahmed Mohamed"/>
    <x v="5"/>
    <x v="3"/>
    <x v="3"/>
    <n v="8"/>
    <n v="3700"/>
    <n v="29600"/>
    <n v="14208"/>
    <n v="15392"/>
    <n v="0.52"/>
  </r>
  <r>
    <x v="408"/>
    <d v="2024-10-27T00:00:00"/>
    <x v="9"/>
    <x v="3"/>
    <s v="Khaled Mahmoud"/>
    <x v="0"/>
    <x v="6"/>
    <x v="5"/>
    <n v="5"/>
    <n v="28700"/>
    <n v="143500"/>
    <n v="93275"/>
    <n v="50225"/>
    <n v="0.35"/>
  </r>
  <r>
    <x v="409"/>
    <d v="2024-10-27T00:00:00"/>
    <x v="9"/>
    <x v="3"/>
    <s v="Khaled Mahmoud"/>
    <x v="5"/>
    <x v="5"/>
    <x v="5"/>
    <n v="8"/>
    <n v="10000"/>
    <n v="80000"/>
    <n v="48000"/>
    <n v="32000"/>
    <n v="0.4"/>
  </r>
  <r>
    <x v="410"/>
    <d v="2024-10-27T00:00:00"/>
    <x v="9"/>
    <x v="3"/>
    <s v="Ahmed Mohamed"/>
    <x v="2"/>
    <x v="7"/>
    <x v="5"/>
    <n v="7"/>
    <n v="8700"/>
    <n v="60900"/>
    <n v="37758"/>
    <n v="23142"/>
    <n v="0.38"/>
  </r>
  <r>
    <x v="411"/>
    <d v="2024-10-28T00:00:00"/>
    <x v="9"/>
    <x v="3"/>
    <s v="Ahmed Mohamed"/>
    <x v="3"/>
    <x v="2"/>
    <x v="2"/>
    <n v="1"/>
    <n v="2600"/>
    <n v="2600"/>
    <n v="1170"/>
    <n v="1430"/>
    <n v="0.55000000000000004"/>
  </r>
  <r>
    <x v="412"/>
    <d v="2024-10-28T00:00:00"/>
    <x v="9"/>
    <x v="3"/>
    <s v="Omar Hassan"/>
    <x v="4"/>
    <x v="0"/>
    <x v="0"/>
    <n v="4"/>
    <n v="5700"/>
    <n v="22800"/>
    <n v="12540"/>
    <n v="10260"/>
    <n v="0.45"/>
  </r>
  <r>
    <x v="413"/>
    <d v="2024-10-28T00:00:00"/>
    <x v="9"/>
    <x v="3"/>
    <s v="Nour Ibrahim"/>
    <x v="0"/>
    <x v="7"/>
    <x v="5"/>
    <n v="1"/>
    <n v="7900"/>
    <n v="7900"/>
    <n v="4898"/>
    <n v="3002"/>
    <n v="0.38"/>
  </r>
  <r>
    <x v="414"/>
    <d v="2024-10-29T00:00:00"/>
    <x v="9"/>
    <x v="3"/>
    <s v="Ahmed Mohamed"/>
    <x v="1"/>
    <x v="1"/>
    <x v="1"/>
    <n v="8"/>
    <n v="16800"/>
    <n v="134400"/>
    <n v="77952"/>
    <n v="56448"/>
    <n v="0.42"/>
  </r>
  <r>
    <x v="415"/>
    <d v="2024-10-30T00:00:00"/>
    <x v="9"/>
    <x v="3"/>
    <s v="Sara Ali"/>
    <x v="5"/>
    <x v="6"/>
    <x v="5"/>
    <n v="7"/>
    <n v="23000"/>
    <n v="161000"/>
    <n v="104650"/>
    <n v="56350"/>
    <n v="0.35"/>
  </r>
  <r>
    <x v="416"/>
    <d v="2024-10-30T00:00:00"/>
    <x v="9"/>
    <x v="3"/>
    <s v="Khaled Mahmoud"/>
    <x v="5"/>
    <x v="1"/>
    <x v="1"/>
    <n v="9"/>
    <n v="15400"/>
    <n v="138600"/>
    <n v="80388"/>
    <n v="58212"/>
    <n v="0.42"/>
  </r>
  <r>
    <x v="417"/>
    <d v="2024-10-30T00:00:00"/>
    <x v="9"/>
    <x v="3"/>
    <s v="Sara Ali"/>
    <x v="2"/>
    <x v="3"/>
    <x v="3"/>
    <n v="4"/>
    <n v="3500"/>
    <n v="14000"/>
    <n v="6720"/>
    <n v="7280"/>
    <n v="0.52"/>
  </r>
  <r>
    <x v="418"/>
    <d v="2024-10-31T00:00:00"/>
    <x v="9"/>
    <x v="3"/>
    <s v="Dina Youssef"/>
    <x v="3"/>
    <x v="4"/>
    <x v="4"/>
    <n v="4"/>
    <n v="11100"/>
    <n v="44400"/>
    <n v="26640"/>
    <n v="17760"/>
    <n v="0.4"/>
  </r>
  <r>
    <x v="419"/>
    <d v="2024-11-01T00:00:00"/>
    <x v="10"/>
    <x v="3"/>
    <s v="Nour Ibrahim"/>
    <x v="1"/>
    <x v="3"/>
    <x v="3"/>
    <n v="6"/>
    <n v="3500"/>
    <n v="21000"/>
    <n v="10080"/>
    <n v="10920"/>
    <n v="0.52"/>
  </r>
  <r>
    <x v="420"/>
    <d v="2024-11-01T00:00:00"/>
    <x v="10"/>
    <x v="3"/>
    <s v="Sara Ali"/>
    <x v="0"/>
    <x v="0"/>
    <x v="0"/>
    <n v="9"/>
    <n v="5200"/>
    <n v="46800"/>
    <n v="25740"/>
    <n v="21060"/>
    <n v="0.45"/>
  </r>
  <r>
    <x v="421"/>
    <d v="2024-11-01T00:00:00"/>
    <x v="10"/>
    <x v="3"/>
    <s v="Sara Ali"/>
    <x v="1"/>
    <x v="6"/>
    <x v="5"/>
    <n v="3"/>
    <n v="24200"/>
    <n v="72600"/>
    <n v="47190"/>
    <n v="25410"/>
    <n v="0.35"/>
  </r>
  <r>
    <x v="422"/>
    <d v="2024-11-02T00:00:00"/>
    <x v="10"/>
    <x v="3"/>
    <s v="Omar Hassan"/>
    <x v="2"/>
    <x v="1"/>
    <x v="1"/>
    <n v="2"/>
    <n v="15300"/>
    <n v="30600"/>
    <n v="17748"/>
    <n v="12852"/>
    <n v="0.42"/>
  </r>
  <r>
    <x v="423"/>
    <d v="2024-11-02T00:00:00"/>
    <x v="10"/>
    <x v="3"/>
    <s v="Nour Ibrahim"/>
    <x v="2"/>
    <x v="7"/>
    <x v="5"/>
    <n v="5"/>
    <n v="8900"/>
    <n v="44500"/>
    <n v="27590"/>
    <n v="16910"/>
    <n v="0.38"/>
  </r>
  <r>
    <x v="424"/>
    <d v="2024-11-02T00:00:00"/>
    <x v="10"/>
    <x v="3"/>
    <s v="Dina Youssef"/>
    <x v="1"/>
    <x v="1"/>
    <x v="1"/>
    <n v="3"/>
    <n v="14400"/>
    <n v="43200"/>
    <n v="25056"/>
    <n v="18144"/>
    <n v="0.42"/>
  </r>
  <r>
    <x v="425"/>
    <d v="2024-11-02T00:00:00"/>
    <x v="10"/>
    <x v="3"/>
    <s v="Khaled Mahmoud"/>
    <x v="3"/>
    <x v="5"/>
    <x v="5"/>
    <n v="9"/>
    <n v="9400"/>
    <n v="84600"/>
    <n v="50760"/>
    <n v="33840"/>
    <n v="0.4"/>
  </r>
  <r>
    <x v="426"/>
    <d v="2024-11-04T00:00:00"/>
    <x v="10"/>
    <x v="3"/>
    <s v="Nour Ibrahim"/>
    <x v="4"/>
    <x v="6"/>
    <x v="5"/>
    <n v="9"/>
    <n v="26000"/>
    <n v="234000"/>
    <n v="152100"/>
    <n v="81900"/>
    <n v="0.35"/>
  </r>
  <r>
    <x v="427"/>
    <d v="2024-11-04T00:00:00"/>
    <x v="10"/>
    <x v="3"/>
    <s v="Omar Hassan"/>
    <x v="5"/>
    <x v="3"/>
    <x v="3"/>
    <n v="8"/>
    <n v="3300"/>
    <n v="26400"/>
    <n v="12672"/>
    <n v="13728"/>
    <n v="0.52"/>
  </r>
  <r>
    <x v="428"/>
    <d v="2024-11-05T00:00:00"/>
    <x v="10"/>
    <x v="3"/>
    <s v="Dina Youssef"/>
    <x v="1"/>
    <x v="0"/>
    <x v="0"/>
    <n v="4"/>
    <n v="4500"/>
    <n v="18000"/>
    <n v="9900"/>
    <n v="8100"/>
    <n v="0.45"/>
  </r>
  <r>
    <x v="429"/>
    <d v="2024-11-05T00:00:00"/>
    <x v="10"/>
    <x v="3"/>
    <s v="Dina Youssef"/>
    <x v="5"/>
    <x v="7"/>
    <x v="5"/>
    <n v="1"/>
    <n v="8900"/>
    <n v="8900"/>
    <n v="5518"/>
    <n v="3382"/>
    <n v="0.38"/>
  </r>
  <r>
    <x v="430"/>
    <d v="2024-11-06T00:00:00"/>
    <x v="10"/>
    <x v="3"/>
    <s v="Dina Youssef"/>
    <x v="3"/>
    <x v="3"/>
    <x v="3"/>
    <n v="9"/>
    <n v="4000"/>
    <n v="36000"/>
    <n v="17280"/>
    <n v="18720"/>
    <n v="0.52"/>
  </r>
  <r>
    <x v="431"/>
    <d v="2024-11-06T00:00:00"/>
    <x v="10"/>
    <x v="3"/>
    <s v="Nour Ibrahim"/>
    <x v="1"/>
    <x v="1"/>
    <x v="1"/>
    <n v="9"/>
    <n v="15100"/>
    <n v="135900"/>
    <n v="78822"/>
    <n v="57078"/>
    <n v="0.42"/>
  </r>
  <r>
    <x v="432"/>
    <d v="2024-11-09T00:00:00"/>
    <x v="10"/>
    <x v="3"/>
    <s v="Dina Youssef"/>
    <x v="2"/>
    <x v="1"/>
    <x v="1"/>
    <n v="10"/>
    <n v="14100"/>
    <n v="141000"/>
    <n v="81780"/>
    <n v="59220"/>
    <n v="0.42"/>
  </r>
  <r>
    <x v="433"/>
    <d v="2024-11-10T00:00:00"/>
    <x v="10"/>
    <x v="3"/>
    <s v="Sara Ali"/>
    <x v="3"/>
    <x v="1"/>
    <x v="1"/>
    <n v="7"/>
    <n v="14400"/>
    <n v="100800"/>
    <n v="58464"/>
    <n v="42336"/>
    <n v="0.42"/>
  </r>
  <r>
    <x v="434"/>
    <d v="2024-11-12T00:00:00"/>
    <x v="10"/>
    <x v="3"/>
    <s v="Nour Ibrahim"/>
    <x v="5"/>
    <x v="2"/>
    <x v="2"/>
    <n v="7"/>
    <n v="2700"/>
    <n v="18900"/>
    <n v="8505"/>
    <n v="10395"/>
    <n v="0.55000000000000004"/>
  </r>
  <r>
    <x v="435"/>
    <d v="2024-11-12T00:00:00"/>
    <x v="10"/>
    <x v="3"/>
    <s v="Sara Ali"/>
    <x v="3"/>
    <x v="4"/>
    <x v="4"/>
    <n v="5"/>
    <n v="11500"/>
    <n v="57500"/>
    <n v="34500"/>
    <n v="23000"/>
    <n v="0.4"/>
  </r>
  <r>
    <x v="436"/>
    <d v="2024-11-12T00:00:00"/>
    <x v="10"/>
    <x v="3"/>
    <s v="Ahmed Mohamed"/>
    <x v="1"/>
    <x v="5"/>
    <x v="5"/>
    <n v="1"/>
    <n v="9600"/>
    <n v="9600"/>
    <n v="5760"/>
    <n v="3840"/>
    <n v="0.4"/>
  </r>
  <r>
    <x v="437"/>
    <d v="2024-11-13T00:00:00"/>
    <x v="10"/>
    <x v="3"/>
    <s v="Sara Ali"/>
    <x v="4"/>
    <x v="2"/>
    <x v="2"/>
    <n v="10"/>
    <n v="2600"/>
    <n v="26000"/>
    <n v="11700"/>
    <n v="14300"/>
    <n v="0.55000000000000004"/>
  </r>
  <r>
    <x v="438"/>
    <d v="2024-11-14T00:00:00"/>
    <x v="10"/>
    <x v="3"/>
    <s v="Khaled Mahmoud"/>
    <x v="2"/>
    <x v="4"/>
    <x v="4"/>
    <n v="4"/>
    <n v="11000"/>
    <n v="44000"/>
    <n v="26400"/>
    <n v="17600"/>
    <n v="0.4"/>
  </r>
  <r>
    <x v="439"/>
    <d v="2024-11-15T00:00:00"/>
    <x v="10"/>
    <x v="3"/>
    <s v="Dina Youssef"/>
    <x v="2"/>
    <x v="1"/>
    <x v="1"/>
    <n v="2"/>
    <n v="16000"/>
    <n v="32000"/>
    <n v="18560"/>
    <n v="13440"/>
    <n v="0.42"/>
  </r>
  <r>
    <x v="440"/>
    <d v="2024-11-16T00:00:00"/>
    <x v="10"/>
    <x v="3"/>
    <s v="Khaled Mahmoud"/>
    <x v="4"/>
    <x v="0"/>
    <x v="0"/>
    <n v="9"/>
    <n v="5600"/>
    <n v="50400"/>
    <n v="27720"/>
    <n v="22680"/>
    <n v="0.45"/>
  </r>
  <r>
    <x v="441"/>
    <d v="2024-11-16T00:00:00"/>
    <x v="10"/>
    <x v="3"/>
    <s v="Khaled Mahmoud"/>
    <x v="3"/>
    <x v="0"/>
    <x v="0"/>
    <n v="2"/>
    <n v="5300"/>
    <n v="10600"/>
    <n v="5830"/>
    <n v="4770"/>
    <n v="0.45"/>
  </r>
  <r>
    <x v="442"/>
    <d v="2024-11-17T00:00:00"/>
    <x v="10"/>
    <x v="3"/>
    <s v="Khaled Mahmoud"/>
    <x v="0"/>
    <x v="7"/>
    <x v="5"/>
    <n v="7"/>
    <n v="8800"/>
    <n v="61600"/>
    <n v="38192"/>
    <n v="23408"/>
    <n v="0.38"/>
  </r>
  <r>
    <x v="443"/>
    <d v="2024-11-17T00:00:00"/>
    <x v="10"/>
    <x v="3"/>
    <s v="Ahmed Mohamed"/>
    <x v="1"/>
    <x v="6"/>
    <x v="5"/>
    <n v="8"/>
    <n v="24400"/>
    <n v="195200"/>
    <n v="126880"/>
    <n v="68320"/>
    <n v="0.35"/>
  </r>
  <r>
    <x v="444"/>
    <d v="2024-11-19T00:00:00"/>
    <x v="10"/>
    <x v="3"/>
    <s v="Omar Hassan"/>
    <x v="0"/>
    <x v="6"/>
    <x v="5"/>
    <n v="1"/>
    <n v="23900"/>
    <n v="23900"/>
    <n v="15535"/>
    <n v="8365"/>
    <n v="0.35"/>
  </r>
  <r>
    <x v="445"/>
    <d v="2024-11-20T00:00:00"/>
    <x v="10"/>
    <x v="3"/>
    <s v="Ahmed Mohamed"/>
    <x v="2"/>
    <x v="3"/>
    <x v="3"/>
    <n v="1"/>
    <n v="3900"/>
    <n v="3900"/>
    <n v="1872"/>
    <n v="2028"/>
    <n v="0.52"/>
  </r>
  <r>
    <x v="446"/>
    <d v="2024-11-20T00:00:00"/>
    <x v="10"/>
    <x v="3"/>
    <s v="Omar Hassan"/>
    <x v="5"/>
    <x v="5"/>
    <x v="5"/>
    <n v="4"/>
    <n v="10300"/>
    <n v="41200"/>
    <n v="24720"/>
    <n v="16480"/>
    <n v="0.4"/>
  </r>
  <r>
    <x v="447"/>
    <d v="2024-11-23T00:00:00"/>
    <x v="10"/>
    <x v="3"/>
    <s v="Sara Ali"/>
    <x v="4"/>
    <x v="4"/>
    <x v="4"/>
    <n v="5"/>
    <n v="10900"/>
    <n v="54500"/>
    <n v="32700"/>
    <n v="21800"/>
    <n v="0.4"/>
  </r>
  <r>
    <x v="448"/>
    <d v="2024-11-23T00:00:00"/>
    <x v="10"/>
    <x v="3"/>
    <s v="Omar Hassan"/>
    <x v="4"/>
    <x v="3"/>
    <x v="3"/>
    <n v="8"/>
    <n v="3800"/>
    <n v="30400"/>
    <n v="14592"/>
    <n v="15808"/>
    <n v="0.52"/>
  </r>
  <r>
    <x v="449"/>
    <d v="2024-11-23T00:00:00"/>
    <x v="10"/>
    <x v="3"/>
    <s v="Nour Ibrahim"/>
    <x v="1"/>
    <x v="7"/>
    <x v="5"/>
    <n v="3"/>
    <n v="8700"/>
    <n v="26100"/>
    <n v="16182"/>
    <n v="9918"/>
    <n v="0.38"/>
  </r>
  <r>
    <x v="450"/>
    <d v="2024-11-23T00:00:00"/>
    <x v="10"/>
    <x v="3"/>
    <s v="Omar Hassan"/>
    <x v="3"/>
    <x v="6"/>
    <x v="5"/>
    <n v="9"/>
    <n v="25600"/>
    <n v="230400"/>
    <n v="149760"/>
    <n v="80640"/>
    <n v="0.35"/>
  </r>
  <r>
    <x v="451"/>
    <d v="2024-11-24T00:00:00"/>
    <x v="10"/>
    <x v="3"/>
    <s v="Nour Ibrahim"/>
    <x v="1"/>
    <x v="0"/>
    <x v="0"/>
    <n v="10"/>
    <n v="5300"/>
    <n v="53000"/>
    <n v="29150"/>
    <n v="23850"/>
    <n v="0.45"/>
  </r>
  <r>
    <x v="452"/>
    <d v="2024-11-24T00:00:00"/>
    <x v="10"/>
    <x v="3"/>
    <s v="Sara Ali"/>
    <x v="4"/>
    <x v="5"/>
    <x v="5"/>
    <n v="6"/>
    <n v="9100"/>
    <n v="54600"/>
    <n v="32760"/>
    <n v="21840"/>
    <n v="0.4"/>
  </r>
  <r>
    <x v="453"/>
    <d v="2024-11-26T00:00:00"/>
    <x v="10"/>
    <x v="3"/>
    <s v="Ahmed Mohamed"/>
    <x v="2"/>
    <x v="5"/>
    <x v="5"/>
    <n v="1"/>
    <n v="9100"/>
    <n v="9100"/>
    <n v="5460"/>
    <n v="3640"/>
    <n v="0.4"/>
  </r>
  <r>
    <x v="454"/>
    <d v="2024-11-26T00:00:00"/>
    <x v="10"/>
    <x v="3"/>
    <s v="Omar Hassan"/>
    <x v="4"/>
    <x v="7"/>
    <x v="5"/>
    <n v="3"/>
    <n v="7700"/>
    <n v="23100"/>
    <n v="14322"/>
    <n v="8778"/>
    <n v="0.38"/>
  </r>
  <r>
    <x v="455"/>
    <d v="2024-11-26T00:00:00"/>
    <x v="10"/>
    <x v="3"/>
    <s v="Nour Ibrahim"/>
    <x v="5"/>
    <x v="3"/>
    <x v="3"/>
    <n v="7"/>
    <n v="3500"/>
    <n v="24500"/>
    <n v="11760"/>
    <n v="12740"/>
    <n v="0.52"/>
  </r>
  <r>
    <x v="456"/>
    <d v="2024-11-28T00:00:00"/>
    <x v="10"/>
    <x v="3"/>
    <s v="Ahmed Mohamed"/>
    <x v="2"/>
    <x v="3"/>
    <x v="3"/>
    <n v="1"/>
    <n v="3300"/>
    <n v="3300"/>
    <n v="1584"/>
    <n v="1716"/>
    <n v="0.52"/>
  </r>
  <r>
    <x v="457"/>
    <d v="2024-11-30T00:00:00"/>
    <x v="10"/>
    <x v="3"/>
    <s v="Omar Hassan"/>
    <x v="2"/>
    <x v="5"/>
    <x v="5"/>
    <n v="4"/>
    <n v="9200"/>
    <n v="36800"/>
    <n v="22080"/>
    <n v="14720"/>
    <n v="0.4"/>
  </r>
  <r>
    <x v="458"/>
    <d v="2024-12-02T00:00:00"/>
    <x v="11"/>
    <x v="3"/>
    <s v="Ahmed Mohamed"/>
    <x v="4"/>
    <x v="6"/>
    <x v="5"/>
    <n v="6"/>
    <n v="23600"/>
    <n v="141600"/>
    <n v="92040"/>
    <n v="49560"/>
    <n v="0.35"/>
  </r>
  <r>
    <x v="459"/>
    <d v="2024-12-02T00:00:00"/>
    <x v="11"/>
    <x v="3"/>
    <s v="Sara Ali"/>
    <x v="5"/>
    <x v="3"/>
    <x v="3"/>
    <n v="10"/>
    <n v="3500"/>
    <n v="35000"/>
    <n v="16800"/>
    <n v="18200"/>
    <n v="0.52"/>
  </r>
  <r>
    <x v="460"/>
    <d v="2024-12-03T00:00:00"/>
    <x v="11"/>
    <x v="3"/>
    <s v="Omar Hassan"/>
    <x v="1"/>
    <x v="5"/>
    <x v="5"/>
    <n v="3"/>
    <n v="10200"/>
    <n v="30600"/>
    <n v="18360"/>
    <n v="12240"/>
    <n v="0.4"/>
  </r>
  <r>
    <x v="461"/>
    <d v="2024-12-03T00:00:00"/>
    <x v="11"/>
    <x v="3"/>
    <s v="Ahmed Mohamed"/>
    <x v="5"/>
    <x v="0"/>
    <x v="0"/>
    <n v="1"/>
    <n v="5100"/>
    <n v="5100"/>
    <n v="2805"/>
    <n v="2295"/>
    <n v="0.45"/>
  </r>
  <r>
    <x v="462"/>
    <d v="2024-12-03T00:00:00"/>
    <x v="11"/>
    <x v="3"/>
    <s v="Ahmed Mohamed"/>
    <x v="5"/>
    <x v="7"/>
    <x v="5"/>
    <n v="7"/>
    <n v="8600"/>
    <n v="60200"/>
    <n v="37324"/>
    <n v="22876"/>
    <n v="0.38"/>
  </r>
  <r>
    <x v="463"/>
    <d v="2024-12-05T00:00:00"/>
    <x v="11"/>
    <x v="3"/>
    <s v="Omar Hassan"/>
    <x v="1"/>
    <x v="3"/>
    <x v="3"/>
    <n v="2"/>
    <n v="3300"/>
    <n v="6600"/>
    <n v="3168"/>
    <n v="3432"/>
    <n v="0.52"/>
  </r>
  <r>
    <x v="464"/>
    <d v="2024-12-06T00:00:00"/>
    <x v="11"/>
    <x v="3"/>
    <s v="Ahmed Mohamed"/>
    <x v="1"/>
    <x v="2"/>
    <x v="2"/>
    <n v="10"/>
    <n v="2700"/>
    <n v="27000"/>
    <n v="12150"/>
    <n v="14850"/>
    <n v="0.55000000000000004"/>
  </r>
  <r>
    <x v="465"/>
    <d v="2024-12-07T00:00:00"/>
    <x v="11"/>
    <x v="3"/>
    <s v="Khaled Mahmoud"/>
    <x v="0"/>
    <x v="0"/>
    <x v="0"/>
    <n v="7"/>
    <n v="4600"/>
    <n v="32200"/>
    <n v="17710"/>
    <n v="14490"/>
    <n v="0.45"/>
  </r>
  <r>
    <x v="466"/>
    <d v="2024-12-08T00:00:00"/>
    <x v="11"/>
    <x v="3"/>
    <s v="Nour Ibrahim"/>
    <x v="3"/>
    <x v="4"/>
    <x v="4"/>
    <n v="4"/>
    <n v="12500"/>
    <n v="50000"/>
    <n v="30000"/>
    <n v="20000"/>
    <n v="0.4"/>
  </r>
  <r>
    <x v="467"/>
    <d v="2024-12-08T00:00:00"/>
    <x v="11"/>
    <x v="3"/>
    <s v="Nour Ibrahim"/>
    <x v="0"/>
    <x v="1"/>
    <x v="1"/>
    <n v="1"/>
    <n v="13800"/>
    <n v="13800"/>
    <n v="8004"/>
    <n v="5796"/>
    <n v="0.42"/>
  </r>
  <r>
    <x v="468"/>
    <d v="2024-12-08T00:00:00"/>
    <x v="11"/>
    <x v="3"/>
    <s v="Ahmed Mohamed"/>
    <x v="1"/>
    <x v="4"/>
    <x v="4"/>
    <n v="6"/>
    <n v="12400"/>
    <n v="74400"/>
    <n v="44640"/>
    <n v="29760"/>
    <n v="0.4"/>
  </r>
  <r>
    <x v="469"/>
    <d v="2024-12-09T00:00:00"/>
    <x v="11"/>
    <x v="3"/>
    <s v="Dina Youssef"/>
    <x v="2"/>
    <x v="2"/>
    <x v="2"/>
    <n v="2"/>
    <n v="2500"/>
    <n v="5000"/>
    <n v="2250"/>
    <n v="2750"/>
    <n v="0.55000000000000004"/>
  </r>
  <r>
    <x v="470"/>
    <d v="2024-12-09T00:00:00"/>
    <x v="11"/>
    <x v="3"/>
    <s v="Omar Hassan"/>
    <x v="2"/>
    <x v="3"/>
    <x v="3"/>
    <n v="1"/>
    <n v="3600"/>
    <n v="3600"/>
    <n v="1728"/>
    <n v="1872"/>
    <n v="0.52"/>
  </r>
  <r>
    <x v="471"/>
    <d v="2024-12-09T00:00:00"/>
    <x v="11"/>
    <x v="3"/>
    <s v="Dina Youssef"/>
    <x v="5"/>
    <x v="3"/>
    <x v="3"/>
    <n v="6"/>
    <n v="3800"/>
    <n v="22800"/>
    <n v="10944"/>
    <n v="11856"/>
    <n v="0.52"/>
  </r>
  <r>
    <x v="472"/>
    <d v="2024-12-09T00:00:00"/>
    <x v="11"/>
    <x v="3"/>
    <s v="Omar Hassan"/>
    <x v="0"/>
    <x v="2"/>
    <x v="2"/>
    <n v="6"/>
    <n v="2500"/>
    <n v="15000"/>
    <n v="6750"/>
    <n v="8250"/>
    <n v="0.55000000000000004"/>
  </r>
  <r>
    <x v="473"/>
    <d v="2024-12-10T00:00:00"/>
    <x v="11"/>
    <x v="3"/>
    <s v="Ahmed Mohamed"/>
    <x v="3"/>
    <x v="0"/>
    <x v="0"/>
    <n v="6"/>
    <n v="5200"/>
    <n v="31200"/>
    <n v="17160"/>
    <n v="14040"/>
    <n v="0.45"/>
  </r>
  <r>
    <x v="474"/>
    <d v="2024-12-10T00:00:00"/>
    <x v="11"/>
    <x v="3"/>
    <s v="Omar Hassan"/>
    <x v="3"/>
    <x v="4"/>
    <x v="4"/>
    <n v="10"/>
    <n v="13700"/>
    <n v="137000"/>
    <n v="82200"/>
    <n v="54800"/>
    <n v="0.4"/>
  </r>
  <r>
    <x v="475"/>
    <d v="2024-12-10T00:00:00"/>
    <x v="11"/>
    <x v="3"/>
    <s v="Omar Hassan"/>
    <x v="0"/>
    <x v="0"/>
    <x v="0"/>
    <n v="7"/>
    <n v="5400"/>
    <n v="37800"/>
    <n v="20790"/>
    <n v="17010"/>
    <n v="0.45"/>
  </r>
  <r>
    <x v="476"/>
    <d v="2024-12-10T00:00:00"/>
    <x v="11"/>
    <x v="3"/>
    <s v="Sara Ali"/>
    <x v="5"/>
    <x v="3"/>
    <x v="3"/>
    <n v="4"/>
    <n v="3600"/>
    <n v="14400"/>
    <n v="6912"/>
    <n v="7488"/>
    <n v="0.52"/>
  </r>
  <r>
    <x v="477"/>
    <d v="2024-12-10T00:00:00"/>
    <x v="11"/>
    <x v="3"/>
    <s v="Ahmed Mohamed"/>
    <x v="3"/>
    <x v="0"/>
    <x v="0"/>
    <n v="10"/>
    <n v="5600"/>
    <n v="56000"/>
    <n v="30800"/>
    <n v="25200"/>
    <n v="0.45"/>
  </r>
  <r>
    <x v="478"/>
    <d v="2024-12-12T00:00:00"/>
    <x v="11"/>
    <x v="3"/>
    <s v="Khaled Mahmoud"/>
    <x v="2"/>
    <x v="7"/>
    <x v="5"/>
    <n v="6"/>
    <n v="7300"/>
    <n v="43800"/>
    <n v="27156"/>
    <n v="16644"/>
    <n v="0.38"/>
  </r>
  <r>
    <x v="479"/>
    <d v="2024-12-12T00:00:00"/>
    <x v="11"/>
    <x v="3"/>
    <s v="Omar Hassan"/>
    <x v="0"/>
    <x v="3"/>
    <x v="3"/>
    <n v="9"/>
    <n v="4000"/>
    <n v="36000"/>
    <n v="17280"/>
    <n v="18720"/>
    <n v="0.52"/>
  </r>
  <r>
    <x v="480"/>
    <d v="2024-12-12T00:00:00"/>
    <x v="11"/>
    <x v="3"/>
    <s v="Nour Ibrahim"/>
    <x v="0"/>
    <x v="3"/>
    <x v="3"/>
    <n v="6"/>
    <n v="4000"/>
    <n v="24000"/>
    <n v="11520"/>
    <n v="12480"/>
    <n v="0.52"/>
  </r>
  <r>
    <x v="481"/>
    <d v="2024-12-13T00:00:00"/>
    <x v="11"/>
    <x v="3"/>
    <s v="Khaled Mahmoud"/>
    <x v="3"/>
    <x v="7"/>
    <x v="5"/>
    <n v="3"/>
    <n v="9100"/>
    <n v="27300"/>
    <n v="16926"/>
    <n v="10374"/>
    <n v="0.38"/>
  </r>
  <r>
    <x v="482"/>
    <d v="2024-12-13T00:00:00"/>
    <x v="11"/>
    <x v="3"/>
    <s v="Nour Ibrahim"/>
    <x v="0"/>
    <x v="5"/>
    <x v="5"/>
    <n v="6"/>
    <n v="10200"/>
    <n v="61200"/>
    <n v="36720"/>
    <n v="24480"/>
    <n v="0.4"/>
  </r>
  <r>
    <x v="483"/>
    <d v="2024-12-18T00:00:00"/>
    <x v="11"/>
    <x v="3"/>
    <s v="Sara Ali"/>
    <x v="0"/>
    <x v="2"/>
    <x v="2"/>
    <n v="1"/>
    <n v="2700"/>
    <n v="2700"/>
    <n v="1215"/>
    <n v="1485"/>
    <n v="0.55000000000000004"/>
  </r>
  <r>
    <x v="484"/>
    <d v="2024-12-18T00:00:00"/>
    <x v="11"/>
    <x v="3"/>
    <s v="Dina Youssef"/>
    <x v="1"/>
    <x v="6"/>
    <x v="5"/>
    <n v="5"/>
    <n v="26200"/>
    <n v="131000"/>
    <n v="85150"/>
    <n v="45850"/>
    <n v="0.35"/>
  </r>
  <r>
    <x v="485"/>
    <d v="2024-12-19T00:00:00"/>
    <x v="11"/>
    <x v="3"/>
    <s v="Dina Youssef"/>
    <x v="1"/>
    <x v="2"/>
    <x v="2"/>
    <n v="5"/>
    <n v="2300"/>
    <n v="11500"/>
    <n v="5175"/>
    <n v="6325"/>
    <n v="0.55000000000000004"/>
  </r>
  <r>
    <x v="486"/>
    <d v="2024-12-20T00:00:00"/>
    <x v="11"/>
    <x v="3"/>
    <s v="Dina Youssef"/>
    <x v="1"/>
    <x v="3"/>
    <x v="3"/>
    <n v="6"/>
    <n v="3700"/>
    <n v="22200"/>
    <n v="10656"/>
    <n v="11544"/>
    <n v="0.52"/>
  </r>
  <r>
    <x v="487"/>
    <d v="2024-12-21T00:00:00"/>
    <x v="11"/>
    <x v="3"/>
    <s v="Omar Hassan"/>
    <x v="0"/>
    <x v="0"/>
    <x v="0"/>
    <n v="1"/>
    <n v="5600"/>
    <n v="5600"/>
    <n v="3080"/>
    <n v="2520"/>
    <n v="0.45"/>
  </r>
  <r>
    <x v="488"/>
    <d v="2024-12-22T00:00:00"/>
    <x v="11"/>
    <x v="3"/>
    <s v="Nour Ibrahim"/>
    <x v="5"/>
    <x v="6"/>
    <x v="5"/>
    <n v="10"/>
    <n v="27900"/>
    <n v="279000"/>
    <n v="181350"/>
    <n v="97650"/>
    <n v="0.35"/>
  </r>
  <r>
    <x v="489"/>
    <d v="2024-12-22T00:00:00"/>
    <x v="11"/>
    <x v="3"/>
    <s v="Dina Youssef"/>
    <x v="1"/>
    <x v="0"/>
    <x v="0"/>
    <n v="10"/>
    <n v="4700"/>
    <n v="47000"/>
    <n v="25850"/>
    <n v="21150"/>
    <n v="0.45"/>
  </r>
  <r>
    <x v="490"/>
    <d v="2024-12-24T00:00:00"/>
    <x v="11"/>
    <x v="3"/>
    <s v="Khaled Mahmoud"/>
    <x v="5"/>
    <x v="3"/>
    <x v="3"/>
    <n v="9"/>
    <n v="4000"/>
    <n v="36000"/>
    <n v="17280"/>
    <n v="18720"/>
    <n v="0.52"/>
  </r>
  <r>
    <x v="491"/>
    <d v="2024-12-24T00:00:00"/>
    <x v="11"/>
    <x v="3"/>
    <s v="Omar Hassan"/>
    <x v="5"/>
    <x v="4"/>
    <x v="4"/>
    <n v="8"/>
    <n v="11400"/>
    <n v="91200"/>
    <n v="54720"/>
    <n v="36480"/>
    <n v="0.4"/>
  </r>
  <r>
    <x v="492"/>
    <d v="2024-12-26T00:00:00"/>
    <x v="11"/>
    <x v="3"/>
    <s v="Omar Hassan"/>
    <x v="3"/>
    <x v="5"/>
    <x v="5"/>
    <n v="10"/>
    <n v="8600"/>
    <n v="86000"/>
    <n v="51600"/>
    <n v="34400"/>
    <n v="0.4"/>
  </r>
  <r>
    <x v="493"/>
    <d v="2024-12-26T00:00:00"/>
    <x v="11"/>
    <x v="3"/>
    <s v="Sara Ali"/>
    <x v="2"/>
    <x v="4"/>
    <x v="4"/>
    <n v="9"/>
    <n v="12500"/>
    <n v="112500"/>
    <n v="67500"/>
    <n v="45000"/>
    <n v="0.4"/>
  </r>
  <r>
    <x v="494"/>
    <d v="2024-12-27T00:00:00"/>
    <x v="11"/>
    <x v="3"/>
    <s v="Omar Hassan"/>
    <x v="1"/>
    <x v="2"/>
    <x v="2"/>
    <n v="7"/>
    <n v="2300"/>
    <n v="16100"/>
    <n v="7245"/>
    <n v="8855"/>
    <n v="0.55000000000000004"/>
  </r>
  <r>
    <x v="495"/>
    <d v="2024-12-28T00:00:00"/>
    <x v="11"/>
    <x v="3"/>
    <s v="Omar Hassan"/>
    <x v="2"/>
    <x v="0"/>
    <x v="0"/>
    <n v="1"/>
    <n v="5100"/>
    <n v="5100"/>
    <n v="2805"/>
    <n v="2295"/>
    <n v="0.45"/>
  </r>
  <r>
    <x v="496"/>
    <d v="2024-12-29T00:00:00"/>
    <x v="11"/>
    <x v="3"/>
    <s v="Omar Hassan"/>
    <x v="4"/>
    <x v="4"/>
    <x v="4"/>
    <n v="5"/>
    <n v="12400"/>
    <n v="62000"/>
    <n v="37200"/>
    <n v="24800"/>
    <n v="0.4"/>
  </r>
  <r>
    <x v="497"/>
    <d v="2024-12-30T00:00:00"/>
    <x v="11"/>
    <x v="3"/>
    <s v="Sara Ali"/>
    <x v="0"/>
    <x v="7"/>
    <x v="5"/>
    <n v="9"/>
    <n v="8800"/>
    <n v="79200"/>
    <n v="49104"/>
    <n v="30096"/>
    <n v="0.38"/>
  </r>
  <r>
    <x v="498"/>
    <d v="2024-12-31T00:00:00"/>
    <x v="11"/>
    <x v="3"/>
    <s v="Omar Hassan"/>
    <x v="1"/>
    <x v="0"/>
    <x v="0"/>
    <n v="6"/>
    <n v="4800"/>
    <n v="28800"/>
    <n v="15840"/>
    <n v="12960"/>
    <n v="0.45"/>
  </r>
  <r>
    <x v="499"/>
    <d v="2024-12-31T00:00:00"/>
    <x v="11"/>
    <x v="3"/>
    <s v="Dina Youssef"/>
    <x v="2"/>
    <x v="5"/>
    <x v="5"/>
    <n v="6"/>
    <n v="10300"/>
    <n v="61800"/>
    <n v="37080"/>
    <n v="24720"/>
    <n v="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99C899-DEEB-46C4-A25A-6F200634C03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9" firstHeaderRow="1" firstDataRow="1" firstDataCol="1"/>
  <pivotFields count="14">
    <pivotField showAll="0">
      <items count="501">
        <item x="447"/>
        <item x="87"/>
        <item x="285"/>
        <item x="426"/>
        <item x="304"/>
        <item x="286"/>
        <item x="55"/>
        <item x="15"/>
        <item x="192"/>
        <item x="139"/>
        <item x="175"/>
        <item x="233"/>
        <item x="107"/>
        <item x="483"/>
        <item x="206"/>
        <item x="207"/>
        <item x="92"/>
        <item x="406"/>
        <item x="85"/>
        <item x="442"/>
        <item x="260"/>
        <item x="387"/>
        <item x="169"/>
        <item x="0"/>
        <item x="440"/>
        <item x="97"/>
        <item x="422"/>
        <item x="152"/>
        <item x="339"/>
        <item x="460"/>
        <item x="430"/>
        <item x="122"/>
        <item x="309"/>
        <item x="411"/>
        <item x="444"/>
        <item x="359"/>
        <item x="77"/>
        <item x="57"/>
        <item x="326"/>
        <item x="221"/>
        <item x="88"/>
        <item x="300"/>
        <item x="151"/>
        <item x="29"/>
        <item x="185"/>
        <item x="340"/>
        <item x="377"/>
        <item x="334"/>
        <item x="36"/>
        <item x="397"/>
        <item x="281"/>
        <item x="203"/>
        <item x="199"/>
        <item x="438"/>
        <item x="78"/>
        <item x="101"/>
        <item x="370"/>
        <item x="64"/>
        <item x="98"/>
        <item x="126"/>
        <item x="445"/>
        <item x="76"/>
        <item x="289"/>
        <item x="245"/>
        <item x="13"/>
        <item x="234"/>
        <item x="115"/>
        <item x="161"/>
        <item x="328"/>
        <item x="140"/>
        <item x="176"/>
        <item x="357"/>
        <item x="71"/>
        <item x="419"/>
        <item x="358"/>
        <item x="16"/>
        <item x="469"/>
        <item x="439"/>
        <item x="355"/>
        <item x="194"/>
        <item x="110"/>
        <item x="128"/>
        <item x="324"/>
        <item x="105"/>
        <item x="148"/>
        <item x="18"/>
        <item x="278"/>
        <item x="156"/>
        <item x="131"/>
        <item x="391"/>
        <item x="323"/>
        <item x="353"/>
        <item x="332"/>
        <item x="363"/>
        <item x="498"/>
        <item x="44"/>
        <item x="494"/>
        <item x="325"/>
        <item x="488"/>
        <item x="1"/>
        <item x="380"/>
        <item x="7"/>
        <item x="327"/>
        <item x="415"/>
        <item x="118"/>
        <item x="213"/>
        <item x="166"/>
        <item x="137"/>
        <item x="123"/>
        <item x="466"/>
        <item x="167"/>
        <item x="69"/>
        <item x="202"/>
        <item x="485"/>
        <item x="73"/>
        <item x="37"/>
        <item x="291"/>
        <item x="293"/>
        <item x="337"/>
        <item x="158"/>
        <item x="398"/>
        <item x="341"/>
        <item x="420"/>
        <item x="154"/>
        <item x="453"/>
        <item x="133"/>
        <item x="243"/>
        <item x="384"/>
        <item x="163"/>
        <item x="375"/>
        <item x="412"/>
        <item x="239"/>
        <item x="19"/>
        <item x="62"/>
        <item x="224"/>
        <item x="33"/>
        <item x="23"/>
        <item x="162"/>
        <item x="434"/>
        <item x="198"/>
        <item x="60"/>
        <item x="102"/>
        <item x="272"/>
        <item x="142"/>
        <item x="144"/>
        <item x="287"/>
        <item x="38"/>
        <item x="399"/>
        <item x="490"/>
        <item x="295"/>
        <item x="428"/>
        <item x="408"/>
        <item x="111"/>
        <item x="407"/>
        <item x="230"/>
        <item x="276"/>
        <item x="311"/>
        <item x="360"/>
        <item x="24"/>
        <item x="301"/>
        <item x="296"/>
        <item x="103"/>
        <item x="138"/>
        <item x="348"/>
        <item x="329"/>
        <item x="423"/>
        <item x="356"/>
        <item x="409"/>
        <item x="226"/>
        <item x="208"/>
        <item x="145"/>
        <item x="261"/>
        <item x="414"/>
        <item x="315"/>
        <item x="41"/>
        <item x="486"/>
        <item x="255"/>
        <item x="435"/>
        <item x="50"/>
        <item x="487"/>
        <item x="193"/>
        <item x="277"/>
        <item x="437"/>
        <item x="320"/>
        <item x="478"/>
        <item x="448"/>
        <item x="259"/>
        <item x="403"/>
        <item x="265"/>
        <item x="346"/>
        <item x="132"/>
        <item x="443"/>
        <item x="242"/>
        <item x="279"/>
        <item x="351"/>
        <item x="222"/>
        <item x="479"/>
        <item x="266"/>
        <item x="473"/>
        <item x="146"/>
        <item x="134"/>
        <item x="456"/>
        <item x="344"/>
        <item x="312"/>
        <item x="99"/>
        <item x="178"/>
        <item x="149"/>
        <item x="237"/>
        <item x="51"/>
        <item x="217"/>
        <item x="388"/>
        <item x="421"/>
        <item x="164"/>
        <item x="238"/>
        <item x="21"/>
        <item x="32"/>
        <item x="67"/>
        <item x="461"/>
        <item x="268"/>
        <item x="39"/>
        <item x="173"/>
        <item x="313"/>
        <item x="385"/>
        <item x="314"/>
        <item x="204"/>
        <item x="34"/>
        <item x="248"/>
        <item x="215"/>
        <item x="188"/>
        <item x="100"/>
        <item x="244"/>
        <item x="394"/>
        <item x="170"/>
        <item x="93"/>
        <item x="373"/>
        <item x="246"/>
        <item x="22"/>
        <item x="45"/>
        <item x="302"/>
        <item x="290"/>
        <item x="465"/>
        <item x="2"/>
        <item x="191"/>
        <item x="112"/>
        <item x="467"/>
        <item x="318"/>
        <item x="271"/>
        <item x="108"/>
        <item x="65"/>
        <item x="267"/>
        <item x="42"/>
        <item x="454"/>
        <item x="109"/>
        <item x="345"/>
        <item x="396"/>
        <item x="35"/>
        <item x="26"/>
        <item x="11"/>
        <item x="52"/>
        <item x="305"/>
        <item x="30"/>
        <item x="354"/>
        <item x="366"/>
        <item x="223"/>
        <item x="58"/>
        <item x="46"/>
        <item x="463"/>
        <item x="251"/>
        <item x="470"/>
        <item x="117"/>
        <item x="86"/>
        <item x="369"/>
        <item x="252"/>
        <item x="297"/>
        <item x="183"/>
        <item x="120"/>
        <item x="180"/>
        <item x="429"/>
        <item x="249"/>
        <item x="48"/>
        <item x="53"/>
        <item x="25"/>
        <item x="250"/>
        <item x="219"/>
        <item x="89"/>
        <item x="168"/>
        <item x="371"/>
        <item x="74"/>
        <item x="68"/>
        <item x="404"/>
        <item x="433"/>
        <item x="468"/>
        <item x="379"/>
        <item x="262"/>
        <item x="227"/>
        <item x="218"/>
        <item x="113"/>
        <item x="82"/>
        <item x="125"/>
        <item x="361"/>
        <item x="9"/>
        <item x="171"/>
        <item x="299"/>
        <item x="347"/>
        <item x="288"/>
        <item x="209"/>
        <item x="427"/>
        <item x="14"/>
        <item x="28"/>
        <item x="481"/>
        <item x="298"/>
        <item x="241"/>
        <item x="482"/>
        <item x="401"/>
        <item x="177"/>
        <item x="349"/>
        <item x="492"/>
        <item x="343"/>
        <item x="499"/>
        <item x="496"/>
        <item x="497"/>
        <item x="124"/>
        <item x="389"/>
        <item x="49"/>
        <item x="273"/>
        <item x="306"/>
        <item x="449"/>
        <item x="27"/>
        <item x="210"/>
        <item x="165"/>
        <item x="441"/>
        <item x="106"/>
        <item x="220"/>
        <item x="451"/>
        <item x="450"/>
        <item x="200"/>
        <item x="40"/>
        <item x="127"/>
        <item x="228"/>
        <item x="66"/>
        <item x="159"/>
        <item x="282"/>
        <item x="205"/>
        <item x="350"/>
        <item x="316"/>
        <item x="181"/>
        <item x="4"/>
        <item x="270"/>
        <item x="121"/>
        <item x="307"/>
        <item x="72"/>
        <item x="392"/>
        <item x="269"/>
        <item x="331"/>
        <item x="432"/>
        <item x="416"/>
        <item x="495"/>
        <item x="474"/>
        <item x="484"/>
        <item x="405"/>
        <item x="367"/>
        <item x="491"/>
        <item x="95"/>
        <item x="330"/>
        <item x="211"/>
        <item x="374"/>
        <item x="119"/>
        <item x="189"/>
        <item x="231"/>
        <item x="256"/>
        <item x="190"/>
        <item x="336"/>
        <item x="489"/>
        <item x="153"/>
        <item x="147"/>
        <item x="61"/>
        <item x="457"/>
        <item x="186"/>
        <item x="143"/>
        <item x="10"/>
        <item x="12"/>
        <item x="184"/>
        <item x="80"/>
        <item x="317"/>
        <item x="195"/>
        <item x="214"/>
        <item x="335"/>
        <item x="150"/>
        <item x="402"/>
        <item x="31"/>
        <item x="352"/>
        <item x="135"/>
        <item x="431"/>
        <item x="464"/>
        <item x="303"/>
        <item x="383"/>
        <item x="364"/>
        <item x="342"/>
        <item x="79"/>
        <item x="475"/>
        <item x="130"/>
        <item x="378"/>
        <item x="187"/>
        <item x="455"/>
        <item x="253"/>
        <item x="232"/>
        <item x="75"/>
        <item x="476"/>
        <item x="229"/>
        <item x="283"/>
        <item x="8"/>
        <item x="17"/>
        <item x="90"/>
        <item x="424"/>
        <item x="136"/>
        <item x="114"/>
        <item x="471"/>
        <item x="274"/>
        <item x="155"/>
        <item x="395"/>
        <item x="263"/>
        <item x="308"/>
        <item x="254"/>
        <item x="472"/>
        <item x="129"/>
        <item x="157"/>
        <item x="182"/>
        <item x="240"/>
        <item x="247"/>
        <item x="94"/>
        <item x="280"/>
        <item x="400"/>
        <item x="452"/>
        <item x="381"/>
        <item x="368"/>
        <item x="3"/>
        <item x="96"/>
        <item x="436"/>
        <item x="386"/>
        <item x="376"/>
        <item x="59"/>
        <item x="235"/>
        <item x="319"/>
        <item x="47"/>
        <item x="333"/>
        <item x="294"/>
        <item x="141"/>
        <item x="20"/>
        <item x="458"/>
        <item x="410"/>
        <item x="104"/>
        <item x="216"/>
        <item x="43"/>
        <item x="225"/>
        <item x="172"/>
        <item x="292"/>
        <item x="196"/>
        <item x="257"/>
        <item x="54"/>
        <item x="63"/>
        <item x="390"/>
        <item x="56"/>
        <item x="264"/>
        <item x="365"/>
        <item x="201"/>
        <item x="174"/>
        <item x="160"/>
        <item x="83"/>
        <item x="258"/>
        <item x="84"/>
        <item x="116"/>
        <item x="446"/>
        <item x="179"/>
        <item x="382"/>
        <item x="321"/>
        <item x="275"/>
        <item x="462"/>
        <item x="425"/>
        <item x="284"/>
        <item x="418"/>
        <item x="236"/>
        <item x="480"/>
        <item x="5"/>
        <item x="393"/>
        <item x="413"/>
        <item x="197"/>
        <item x="91"/>
        <item x="338"/>
        <item x="310"/>
        <item x="6"/>
        <item x="362"/>
        <item x="322"/>
        <item x="459"/>
        <item x="417"/>
        <item x="493"/>
        <item x="212"/>
        <item x="372"/>
        <item x="70"/>
        <item x="477"/>
        <item x="81"/>
        <item t="default"/>
      </items>
    </pivotField>
    <pivotField numFmtId="164"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axis="axisRow" showAll="0">
      <items count="7">
        <item x="4"/>
        <item x="5"/>
        <item x="0"/>
        <item x="2"/>
        <item x="1"/>
        <item x="3"/>
        <item t="default"/>
      </items>
    </pivotField>
    <pivotField showAll="0">
      <items count="9">
        <item x="1"/>
        <item x="2"/>
        <item x="6"/>
        <item x="4"/>
        <item x="5"/>
        <item x="0"/>
        <item x="3"/>
        <item x="7"/>
        <item t="default"/>
      </items>
    </pivotField>
    <pivotField showAll="0">
      <items count="7">
        <item x="2"/>
        <item x="3"/>
        <item x="5"/>
        <item x="4"/>
        <item x="1"/>
        <item x="0"/>
        <item t="default"/>
      </items>
    </pivotField>
    <pivotField showAll="0"/>
    <pivotField numFmtId="3" showAll="0"/>
    <pivotField dataField="1" numFmtId="3" showAll="0"/>
    <pivotField numFmtId="3" showAll="0"/>
    <pivotField numFmtId="3" showAll="0"/>
    <pivotField numFmtId="165" showAll="0"/>
  </pivotFields>
  <rowFields count="1">
    <field x="5"/>
  </rowFields>
  <rowItems count="7">
    <i>
      <x/>
    </i>
    <i>
      <x v="1"/>
    </i>
    <i>
      <x v="2"/>
    </i>
    <i>
      <x v="3"/>
    </i>
    <i>
      <x v="4"/>
    </i>
    <i>
      <x v="5"/>
    </i>
    <i t="grand">
      <x/>
    </i>
  </rowItems>
  <colItems count="1">
    <i/>
  </colItems>
  <dataFields count="1">
    <dataField name="Sum of Total Sales (EGP)" fld="10" baseField="0" baseItem="0" numFmtId="3"/>
  </dataFields>
  <chartFormats count="8">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0"/>
          </reference>
        </references>
      </pivotArea>
    </chartFormat>
    <chartFormat chart="8" format="10">
      <pivotArea type="data" outline="0" fieldPosition="0">
        <references count="2">
          <reference field="4294967294" count="1" selected="0">
            <x v="0"/>
          </reference>
          <reference field="5" count="1" selected="0">
            <x v="1"/>
          </reference>
        </references>
      </pivotArea>
    </chartFormat>
    <chartFormat chart="8" format="11">
      <pivotArea type="data" outline="0" fieldPosition="0">
        <references count="2">
          <reference field="4294967294" count="1" selected="0">
            <x v="0"/>
          </reference>
          <reference field="5" count="1" selected="0">
            <x v="2"/>
          </reference>
        </references>
      </pivotArea>
    </chartFormat>
    <chartFormat chart="8" format="12">
      <pivotArea type="data" outline="0" fieldPosition="0">
        <references count="2">
          <reference field="4294967294" count="1" selected="0">
            <x v="0"/>
          </reference>
          <reference field="5" count="1" selected="0">
            <x v="3"/>
          </reference>
        </references>
      </pivotArea>
    </chartFormat>
    <chartFormat chart="8" format="13">
      <pivotArea type="data" outline="0" fieldPosition="0">
        <references count="2">
          <reference field="4294967294" count="1" selected="0">
            <x v="0"/>
          </reference>
          <reference field="5" count="1" selected="0">
            <x v="4"/>
          </reference>
        </references>
      </pivotArea>
    </chartFormat>
    <chartFormat chart="8"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7AAFDC-1772-4897-B136-0F77F4BE55C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2:E31" firstHeaderRow="1" firstDataRow="1" firstDataCol="1"/>
  <pivotFields count="14">
    <pivotField showAll="0">
      <items count="501">
        <item x="447"/>
        <item x="87"/>
        <item x="285"/>
        <item x="426"/>
        <item x="304"/>
        <item x="286"/>
        <item x="55"/>
        <item x="15"/>
        <item x="192"/>
        <item x="139"/>
        <item x="175"/>
        <item x="233"/>
        <item x="107"/>
        <item x="483"/>
        <item x="206"/>
        <item x="207"/>
        <item x="92"/>
        <item x="406"/>
        <item x="85"/>
        <item x="442"/>
        <item x="260"/>
        <item x="387"/>
        <item x="169"/>
        <item x="0"/>
        <item x="440"/>
        <item x="97"/>
        <item x="422"/>
        <item x="152"/>
        <item x="339"/>
        <item x="460"/>
        <item x="430"/>
        <item x="122"/>
        <item x="309"/>
        <item x="411"/>
        <item x="444"/>
        <item x="359"/>
        <item x="77"/>
        <item x="57"/>
        <item x="326"/>
        <item x="221"/>
        <item x="88"/>
        <item x="300"/>
        <item x="151"/>
        <item x="29"/>
        <item x="185"/>
        <item x="340"/>
        <item x="377"/>
        <item x="334"/>
        <item x="36"/>
        <item x="397"/>
        <item x="281"/>
        <item x="203"/>
        <item x="199"/>
        <item x="438"/>
        <item x="78"/>
        <item x="101"/>
        <item x="370"/>
        <item x="64"/>
        <item x="98"/>
        <item x="126"/>
        <item x="445"/>
        <item x="76"/>
        <item x="289"/>
        <item x="245"/>
        <item x="13"/>
        <item x="234"/>
        <item x="115"/>
        <item x="161"/>
        <item x="328"/>
        <item x="140"/>
        <item x="176"/>
        <item x="357"/>
        <item x="71"/>
        <item x="419"/>
        <item x="358"/>
        <item x="16"/>
        <item x="469"/>
        <item x="439"/>
        <item x="355"/>
        <item x="194"/>
        <item x="110"/>
        <item x="128"/>
        <item x="324"/>
        <item x="105"/>
        <item x="148"/>
        <item x="18"/>
        <item x="278"/>
        <item x="156"/>
        <item x="131"/>
        <item x="391"/>
        <item x="323"/>
        <item x="353"/>
        <item x="332"/>
        <item x="363"/>
        <item x="498"/>
        <item x="44"/>
        <item x="494"/>
        <item x="325"/>
        <item x="488"/>
        <item x="1"/>
        <item x="380"/>
        <item x="7"/>
        <item x="327"/>
        <item x="415"/>
        <item x="118"/>
        <item x="213"/>
        <item x="166"/>
        <item x="137"/>
        <item x="123"/>
        <item x="466"/>
        <item x="167"/>
        <item x="69"/>
        <item x="202"/>
        <item x="485"/>
        <item x="73"/>
        <item x="37"/>
        <item x="291"/>
        <item x="293"/>
        <item x="337"/>
        <item x="158"/>
        <item x="398"/>
        <item x="341"/>
        <item x="420"/>
        <item x="154"/>
        <item x="453"/>
        <item x="133"/>
        <item x="243"/>
        <item x="384"/>
        <item x="163"/>
        <item x="375"/>
        <item x="412"/>
        <item x="239"/>
        <item x="19"/>
        <item x="62"/>
        <item x="224"/>
        <item x="33"/>
        <item x="23"/>
        <item x="162"/>
        <item x="434"/>
        <item x="198"/>
        <item x="60"/>
        <item x="102"/>
        <item x="272"/>
        <item x="142"/>
        <item x="144"/>
        <item x="287"/>
        <item x="38"/>
        <item x="399"/>
        <item x="490"/>
        <item x="295"/>
        <item x="428"/>
        <item x="408"/>
        <item x="111"/>
        <item x="407"/>
        <item x="230"/>
        <item x="276"/>
        <item x="311"/>
        <item x="360"/>
        <item x="24"/>
        <item x="301"/>
        <item x="296"/>
        <item x="103"/>
        <item x="138"/>
        <item x="348"/>
        <item x="329"/>
        <item x="423"/>
        <item x="356"/>
        <item x="409"/>
        <item x="226"/>
        <item x="208"/>
        <item x="145"/>
        <item x="261"/>
        <item x="414"/>
        <item x="315"/>
        <item x="41"/>
        <item x="486"/>
        <item x="255"/>
        <item x="435"/>
        <item x="50"/>
        <item x="487"/>
        <item x="193"/>
        <item x="277"/>
        <item x="437"/>
        <item x="320"/>
        <item x="478"/>
        <item x="448"/>
        <item x="259"/>
        <item x="403"/>
        <item x="265"/>
        <item x="346"/>
        <item x="132"/>
        <item x="443"/>
        <item x="242"/>
        <item x="279"/>
        <item x="351"/>
        <item x="222"/>
        <item x="479"/>
        <item x="266"/>
        <item x="473"/>
        <item x="146"/>
        <item x="134"/>
        <item x="456"/>
        <item x="344"/>
        <item x="312"/>
        <item x="99"/>
        <item x="178"/>
        <item x="149"/>
        <item x="237"/>
        <item x="51"/>
        <item x="217"/>
        <item x="388"/>
        <item x="421"/>
        <item x="164"/>
        <item x="238"/>
        <item x="21"/>
        <item x="32"/>
        <item x="67"/>
        <item x="461"/>
        <item x="268"/>
        <item x="39"/>
        <item x="173"/>
        <item x="313"/>
        <item x="385"/>
        <item x="314"/>
        <item x="204"/>
        <item x="34"/>
        <item x="248"/>
        <item x="215"/>
        <item x="188"/>
        <item x="100"/>
        <item x="244"/>
        <item x="394"/>
        <item x="170"/>
        <item x="93"/>
        <item x="373"/>
        <item x="246"/>
        <item x="22"/>
        <item x="45"/>
        <item x="302"/>
        <item x="290"/>
        <item x="465"/>
        <item x="2"/>
        <item x="191"/>
        <item x="112"/>
        <item x="467"/>
        <item x="318"/>
        <item x="271"/>
        <item x="108"/>
        <item x="65"/>
        <item x="267"/>
        <item x="42"/>
        <item x="454"/>
        <item x="109"/>
        <item x="345"/>
        <item x="396"/>
        <item x="35"/>
        <item x="26"/>
        <item x="11"/>
        <item x="52"/>
        <item x="305"/>
        <item x="30"/>
        <item x="354"/>
        <item x="366"/>
        <item x="223"/>
        <item x="58"/>
        <item x="46"/>
        <item x="463"/>
        <item x="251"/>
        <item x="470"/>
        <item x="117"/>
        <item x="86"/>
        <item x="369"/>
        <item x="252"/>
        <item x="297"/>
        <item x="183"/>
        <item x="120"/>
        <item x="180"/>
        <item x="429"/>
        <item x="249"/>
        <item x="48"/>
        <item x="53"/>
        <item x="25"/>
        <item x="250"/>
        <item x="219"/>
        <item x="89"/>
        <item x="168"/>
        <item x="371"/>
        <item x="74"/>
        <item x="68"/>
        <item x="404"/>
        <item x="433"/>
        <item x="468"/>
        <item x="379"/>
        <item x="262"/>
        <item x="227"/>
        <item x="218"/>
        <item x="113"/>
        <item x="82"/>
        <item x="125"/>
        <item x="361"/>
        <item x="9"/>
        <item x="171"/>
        <item x="299"/>
        <item x="347"/>
        <item x="288"/>
        <item x="209"/>
        <item x="427"/>
        <item x="14"/>
        <item x="28"/>
        <item x="481"/>
        <item x="298"/>
        <item x="241"/>
        <item x="482"/>
        <item x="401"/>
        <item x="177"/>
        <item x="349"/>
        <item x="492"/>
        <item x="343"/>
        <item x="499"/>
        <item x="496"/>
        <item x="497"/>
        <item x="124"/>
        <item x="389"/>
        <item x="49"/>
        <item x="273"/>
        <item x="306"/>
        <item x="449"/>
        <item x="27"/>
        <item x="210"/>
        <item x="165"/>
        <item x="441"/>
        <item x="106"/>
        <item x="220"/>
        <item x="451"/>
        <item x="450"/>
        <item x="200"/>
        <item x="40"/>
        <item x="127"/>
        <item x="228"/>
        <item x="66"/>
        <item x="159"/>
        <item x="282"/>
        <item x="205"/>
        <item x="350"/>
        <item x="316"/>
        <item x="181"/>
        <item x="4"/>
        <item x="270"/>
        <item x="121"/>
        <item x="307"/>
        <item x="72"/>
        <item x="392"/>
        <item x="269"/>
        <item x="331"/>
        <item x="432"/>
        <item x="416"/>
        <item x="495"/>
        <item x="474"/>
        <item x="484"/>
        <item x="405"/>
        <item x="367"/>
        <item x="491"/>
        <item x="95"/>
        <item x="330"/>
        <item x="211"/>
        <item x="374"/>
        <item x="119"/>
        <item x="189"/>
        <item x="231"/>
        <item x="256"/>
        <item x="190"/>
        <item x="336"/>
        <item x="489"/>
        <item x="153"/>
        <item x="147"/>
        <item x="61"/>
        <item x="457"/>
        <item x="186"/>
        <item x="143"/>
        <item x="10"/>
        <item x="12"/>
        <item x="184"/>
        <item x="80"/>
        <item x="317"/>
        <item x="195"/>
        <item x="214"/>
        <item x="335"/>
        <item x="150"/>
        <item x="402"/>
        <item x="31"/>
        <item x="352"/>
        <item x="135"/>
        <item x="431"/>
        <item x="464"/>
        <item x="303"/>
        <item x="383"/>
        <item x="364"/>
        <item x="342"/>
        <item x="79"/>
        <item x="475"/>
        <item x="130"/>
        <item x="378"/>
        <item x="187"/>
        <item x="455"/>
        <item x="253"/>
        <item x="232"/>
        <item x="75"/>
        <item x="476"/>
        <item x="229"/>
        <item x="283"/>
        <item x="8"/>
        <item x="17"/>
        <item x="90"/>
        <item x="424"/>
        <item x="136"/>
        <item x="114"/>
        <item x="471"/>
        <item x="274"/>
        <item x="155"/>
        <item x="395"/>
        <item x="263"/>
        <item x="308"/>
        <item x="254"/>
        <item x="472"/>
        <item x="129"/>
        <item x="157"/>
        <item x="182"/>
        <item x="240"/>
        <item x="247"/>
        <item x="94"/>
        <item x="280"/>
        <item x="400"/>
        <item x="452"/>
        <item x="381"/>
        <item x="368"/>
        <item x="3"/>
        <item x="96"/>
        <item x="436"/>
        <item x="386"/>
        <item x="376"/>
        <item x="59"/>
        <item x="235"/>
        <item x="319"/>
        <item x="47"/>
        <item x="333"/>
        <item x="294"/>
        <item x="141"/>
        <item x="20"/>
        <item x="458"/>
        <item x="410"/>
        <item x="104"/>
        <item x="216"/>
        <item x="43"/>
        <item x="225"/>
        <item x="172"/>
        <item x="292"/>
        <item x="196"/>
        <item x="257"/>
        <item x="54"/>
        <item x="63"/>
        <item x="390"/>
        <item x="56"/>
        <item x="264"/>
        <item x="365"/>
        <item x="201"/>
        <item x="174"/>
        <item x="160"/>
        <item x="83"/>
        <item x="258"/>
        <item x="84"/>
        <item x="116"/>
        <item x="446"/>
        <item x="179"/>
        <item x="382"/>
        <item x="321"/>
        <item x="275"/>
        <item x="462"/>
        <item x="425"/>
        <item x="284"/>
        <item x="418"/>
        <item x="236"/>
        <item x="480"/>
        <item x="5"/>
        <item x="393"/>
        <item x="413"/>
        <item x="197"/>
        <item x="91"/>
        <item x="338"/>
        <item x="310"/>
        <item x="6"/>
        <item x="362"/>
        <item x="322"/>
        <item x="459"/>
        <item x="417"/>
        <item x="493"/>
        <item x="212"/>
        <item x="372"/>
        <item x="70"/>
        <item x="477"/>
        <item x="81"/>
        <item t="default"/>
      </items>
    </pivotField>
    <pivotField numFmtId="164"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7">
        <item x="4"/>
        <item x="5"/>
        <item x="0"/>
        <item x="2"/>
        <item x="1"/>
        <item x="3"/>
        <item t="default"/>
      </items>
    </pivotField>
    <pivotField axis="axisRow" showAll="0" sortType="descending">
      <items count="9">
        <item x="1"/>
        <item x="2"/>
        <item x="6"/>
        <item x="4"/>
        <item x="5"/>
        <item x="0"/>
        <item x="3"/>
        <item x="7"/>
        <item t="default"/>
      </items>
      <autoSortScope>
        <pivotArea dataOnly="0" outline="0" fieldPosition="0">
          <references count="1">
            <reference field="4294967294" count="1" selected="0">
              <x v="0"/>
            </reference>
          </references>
        </pivotArea>
      </autoSortScope>
    </pivotField>
    <pivotField showAll="0">
      <items count="7">
        <item x="2"/>
        <item x="3"/>
        <item x="5"/>
        <item x="4"/>
        <item x="1"/>
        <item x="0"/>
        <item t="default"/>
      </items>
    </pivotField>
    <pivotField showAll="0"/>
    <pivotField numFmtId="3" showAll="0"/>
    <pivotField dataField="1" numFmtId="3" showAll="0"/>
    <pivotField numFmtId="3" showAll="0"/>
    <pivotField numFmtId="3" showAll="0"/>
    <pivotField numFmtId="165" showAll="0"/>
  </pivotFields>
  <rowFields count="1">
    <field x="6"/>
  </rowFields>
  <rowItems count="9">
    <i>
      <x v="2"/>
    </i>
    <i>
      <x/>
    </i>
    <i>
      <x v="3"/>
    </i>
    <i>
      <x v="4"/>
    </i>
    <i>
      <x v="7"/>
    </i>
    <i>
      <x v="5"/>
    </i>
    <i>
      <x v="6"/>
    </i>
    <i>
      <x v="1"/>
    </i>
    <i t="grand">
      <x/>
    </i>
  </rowItems>
  <colItems count="1">
    <i/>
  </colItems>
  <dataFields count="1">
    <dataField name="Sum of Total Sales (EGP)" fld="10" baseField="0" baseItem="0"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D57734-6602-4A20-9A7D-0CDAD4D6904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6" firstHeaderRow="0" firstDataRow="1" firstDataCol="1"/>
  <pivotFields count="14">
    <pivotField showAll="0">
      <items count="501">
        <item x="447"/>
        <item x="87"/>
        <item x="285"/>
        <item x="426"/>
        <item x="304"/>
        <item x="286"/>
        <item x="55"/>
        <item x="15"/>
        <item x="192"/>
        <item x="139"/>
        <item x="175"/>
        <item x="233"/>
        <item x="107"/>
        <item x="483"/>
        <item x="206"/>
        <item x="207"/>
        <item x="92"/>
        <item x="406"/>
        <item x="85"/>
        <item x="442"/>
        <item x="260"/>
        <item x="387"/>
        <item x="169"/>
        <item x="0"/>
        <item x="440"/>
        <item x="97"/>
        <item x="422"/>
        <item x="152"/>
        <item x="339"/>
        <item x="460"/>
        <item x="430"/>
        <item x="122"/>
        <item x="309"/>
        <item x="411"/>
        <item x="444"/>
        <item x="359"/>
        <item x="77"/>
        <item x="57"/>
        <item x="326"/>
        <item x="221"/>
        <item x="88"/>
        <item x="300"/>
        <item x="151"/>
        <item x="29"/>
        <item x="185"/>
        <item x="340"/>
        <item x="377"/>
        <item x="334"/>
        <item x="36"/>
        <item x="397"/>
        <item x="281"/>
        <item x="203"/>
        <item x="199"/>
        <item x="438"/>
        <item x="78"/>
        <item x="101"/>
        <item x="370"/>
        <item x="64"/>
        <item x="98"/>
        <item x="126"/>
        <item x="445"/>
        <item x="76"/>
        <item x="289"/>
        <item x="245"/>
        <item x="13"/>
        <item x="234"/>
        <item x="115"/>
        <item x="161"/>
        <item x="328"/>
        <item x="140"/>
        <item x="176"/>
        <item x="357"/>
        <item x="71"/>
        <item x="419"/>
        <item x="358"/>
        <item x="16"/>
        <item x="469"/>
        <item x="439"/>
        <item x="355"/>
        <item x="194"/>
        <item x="110"/>
        <item x="128"/>
        <item x="324"/>
        <item x="105"/>
        <item x="148"/>
        <item x="18"/>
        <item x="278"/>
        <item x="156"/>
        <item x="131"/>
        <item x="391"/>
        <item x="323"/>
        <item x="353"/>
        <item x="332"/>
        <item x="363"/>
        <item x="498"/>
        <item x="44"/>
        <item x="494"/>
        <item x="325"/>
        <item x="488"/>
        <item x="1"/>
        <item x="380"/>
        <item x="7"/>
        <item x="327"/>
        <item x="415"/>
        <item x="118"/>
        <item x="213"/>
        <item x="166"/>
        <item x="137"/>
        <item x="123"/>
        <item x="466"/>
        <item x="167"/>
        <item x="69"/>
        <item x="202"/>
        <item x="485"/>
        <item x="73"/>
        <item x="37"/>
        <item x="291"/>
        <item x="293"/>
        <item x="337"/>
        <item x="158"/>
        <item x="398"/>
        <item x="341"/>
        <item x="420"/>
        <item x="154"/>
        <item x="453"/>
        <item x="133"/>
        <item x="243"/>
        <item x="384"/>
        <item x="163"/>
        <item x="375"/>
        <item x="412"/>
        <item x="239"/>
        <item x="19"/>
        <item x="62"/>
        <item x="224"/>
        <item x="33"/>
        <item x="23"/>
        <item x="162"/>
        <item x="434"/>
        <item x="198"/>
        <item x="60"/>
        <item x="102"/>
        <item x="272"/>
        <item x="142"/>
        <item x="144"/>
        <item x="287"/>
        <item x="38"/>
        <item x="399"/>
        <item x="490"/>
        <item x="295"/>
        <item x="428"/>
        <item x="408"/>
        <item x="111"/>
        <item x="407"/>
        <item x="230"/>
        <item x="276"/>
        <item x="311"/>
        <item x="360"/>
        <item x="24"/>
        <item x="301"/>
        <item x="296"/>
        <item x="103"/>
        <item x="138"/>
        <item x="348"/>
        <item x="329"/>
        <item x="423"/>
        <item x="356"/>
        <item x="409"/>
        <item x="226"/>
        <item x="208"/>
        <item x="145"/>
        <item x="261"/>
        <item x="414"/>
        <item x="315"/>
        <item x="41"/>
        <item x="486"/>
        <item x="255"/>
        <item x="435"/>
        <item x="50"/>
        <item x="487"/>
        <item x="193"/>
        <item x="277"/>
        <item x="437"/>
        <item x="320"/>
        <item x="478"/>
        <item x="448"/>
        <item x="259"/>
        <item x="403"/>
        <item x="265"/>
        <item x="346"/>
        <item x="132"/>
        <item x="443"/>
        <item x="242"/>
        <item x="279"/>
        <item x="351"/>
        <item x="222"/>
        <item x="479"/>
        <item x="266"/>
        <item x="473"/>
        <item x="146"/>
        <item x="134"/>
        <item x="456"/>
        <item x="344"/>
        <item x="312"/>
        <item x="99"/>
        <item x="178"/>
        <item x="149"/>
        <item x="237"/>
        <item x="51"/>
        <item x="217"/>
        <item x="388"/>
        <item x="421"/>
        <item x="164"/>
        <item x="238"/>
        <item x="21"/>
        <item x="32"/>
        <item x="67"/>
        <item x="461"/>
        <item x="268"/>
        <item x="39"/>
        <item x="173"/>
        <item x="313"/>
        <item x="385"/>
        <item x="314"/>
        <item x="204"/>
        <item x="34"/>
        <item x="248"/>
        <item x="215"/>
        <item x="188"/>
        <item x="100"/>
        <item x="244"/>
        <item x="394"/>
        <item x="170"/>
        <item x="93"/>
        <item x="373"/>
        <item x="246"/>
        <item x="22"/>
        <item x="45"/>
        <item x="302"/>
        <item x="290"/>
        <item x="465"/>
        <item x="2"/>
        <item x="191"/>
        <item x="112"/>
        <item x="467"/>
        <item x="318"/>
        <item x="271"/>
        <item x="108"/>
        <item x="65"/>
        <item x="267"/>
        <item x="42"/>
        <item x="454"/>
        <item x="109"/>
        <item x="345"/>
        <item x="396"/>
        <item x="35"/>
        <item x="26"/>
        <item x="11"/>
        <item x="52"/>
        <item x="305"/>
        <item x="30"/>
        <item x="354"/>
        <item x="366"/>
        <item x="223"/>
        <item x="58"/>
        <item x="46"/>
        <item x="463"/>
        <item x="251"/>
        <item x="470"/>
        <item x="117"/>
        <item x="86"/>
        <item x="369"/>
        <item x="252"/>
        <item x="297"/>
        <item x="183"/>
        <item x="120"/>
        <item x="180"/>
        <item x="429"/>
        <item x="249"/>
        <item x="48"/>
        <item x="53"/>
        <item x="25"/>
        <item x="250"/>
        <item x="219"/>
        <item x="89"/>
        <item x="168"/>
        <item x="371"/>
        <item x="74"/>
        <item x="68"/>
        <item x="404"/>
        <item x="433"/>
        <item x="468"/>
        <item x="379"/>
        <item x="262"/>
        <item x="227"/>
        <item x="218"/>
        <item x="113"/>
        <item x="82"/>
        <item x="125"/>
        <item x="361"/>
        <item x="9"/>
        <item x="171"/>
        <item x="299"/>
        <item x="347"/>
        <item x="288"/>
        <item x="209"/>
        <item x="427"/>
        <item x="14"/>
        <item x="28"/>
        <item x="481"/>
        <item x="298"/>
        <item x="241"/>
        <item x="482"/>
        <item x="401"/>
        <item x="177"/>
        <item x="349"/>
        <item x="492"/>
        <item x="343"/>
        <item x="499"/>
        <item x="496"/>
        <item x="497"/>
        <item x="124"/>
        <item x="389"/>
        <item x="49"/>
        <item x="273"/>
        <item x="306"/>
        <item x="449"/>
        <item x="27"/>
        <item x="210"/>
        <item x="165"/>
        <item x="441"/>
        <item x="106"/>
        <item x="220"/>
        <item x="451"/>
        <item x="450"/>
        <item x="200"/>
        <item x="40"/>
        <item x="127"/>
        <item x="228"/>
        <item x="66"/>
        <item x="159"/>
        <item x="282"/>
        <item x="205"/>
        <item x="350"/>
        <item x="316"/>
        <item x="181"/>
        <item x="4"/>
        <item x="270"/>
        <item x="121"/>
        <item x="307"/>
        <item x="72"/>
        <item x="392"/>
        <item x="269"/>
        <item x="331"/>
        <item x="432"/>
        <item x="416"/>
        <item x="495"/>
        <item x="474"/>
        <item x="484"/>
        <item x="405"/>
        <item x="367"/>
        <item x="491"/>
        <item x="95"/>
        <item x="330"/>
        <item x="211"/>
        <item x="374"/>
        <item x="119"/>
        <item x="189"/>
        <item x="231"/>
        <item x="256"/>
        <item x="190"/>
        <item x="336"/>
        <item x="489"/>
        <item x="153"/>
        <item x="147"/>
        <item x="61"/>
        <item x="457"/>
        <item x="186"/>
        <item x="143"/>
        <item x="10"/>
        <item x="12"/>
        <item x="184"/>
        <item x="80"/>
        <item x="317"/>
        <item x="195"/>
        <item x="214"/>
        <item x="335"/>
        <item x="150"/>
        <item x="402"/>
        <item x="31"/>
        <item x="352"/>
        <item x="135"/>
        <item x="431"/>
        <item x="464"/>
        <item x="303"/>
        <item x="383"/>
        <item x="364"/>
        <item x="342"/>
        <item x="79"/>
        <item x="475"/>
        <item x="130"/>
        <item x="378"/>
        <item x="187"/>
        <item x="455"/>
        <item x="253"/>
        <item x="232"/>
        <item x="75"/>
        <item x="476"/>
        <item x="229"/>
        <item x="283"/>
        <item x="8"/>
        <item x="17"/>
        <item x="90"/>
        <item x="424"/>
        <item x="136"/>
        <item x="114"/>
        <item x="471"/>
        <item x="274"/>
        <item x="155"/>
        <item x="395"/>
        <item x="263"/>
        <item x="308"/>
        <item x="254"/>
        <item x="472"/>
        <item x="129"/>
        <item x="157"/>
        <item x="182"/>
        <item x="240"/>
        <item x="247"/>
        <item x="94"/>
        <item x="280"/>
        <item x="400"/>
        <item x="452"/>
        <item x="381"/>
        <item x="368"/>
        <item x="3"/>
        <item x="96"/>
        <item x="436"/>
        <item x="386"/>
        <item x="376"/>
        <item x="59"/>
        <item x="235"/>
        <item x="319"/>
        <item x="47"/>
        <item x="333"/>
        <item x="294"/>
        <item x="141"/>
        <item x="20"/>
        <item x="458"/>
        <item x="410"/>
        <item x="104"/>
        <item x="216"/>
        <item x="43"/>
        <item x="225"/>
        <item x="172"/>
        <item x="292"/>
        <item x="196"/>
        <item x="257"/>
        <item x="54"/>
        <item x="63"/>
        <item x="390"/>
        <item x="56"/>
        <item x="264"/>
        <item x="365"/>
        <item x="201"/>
        <item x="174"/>
        <item x="160"/>
        <item x="83"/>
        <item x="258"/>
        <item x="84"/>
        <item x="116"/>
        <item x="446"/>
        <item x="179"/>
        <item x="382"/>
        <item x="321"/>
        <item x="275"/>
        <item x="462"/>
        <item x="425"/>
        <item x="284"/>
        <item x="418"/>
        <item x="236"/>
        <item x="480"/>
        <item x="5"/>
        <item x="393"/>
        <item x="413"/>
        <item x="197"/>
        <item x="91"/>
        <item x="338"/>
        <item x="310"/>
        <item x="6"/>
        <item x="362"/>
        <item x="322"/>
        <item x="459"/>
        <item x="417"/>
        <item x="493"/>
        <item x="212"/>
        <item x="372"/>
        <item x="70"/>
        <item x="477"/>
        <item x="81"/>
        <item t="default"/>
      </items>
    </pivotField>
    <pivotField numFmtId="164"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items count="7">
        <item x="4"/>
        <item x="5"/>
        <item x="0"/>
        <item x="2"/>
        <item x="1"/>
        <item x="3"/>
        <item t="default"/>
      </items>
    </pivotField>
    <pivotField showAll="0"/>
    <pivotField showAll="0">
      <items count="7">
        <item x="2"/>
        <item x="3"/>
        <item x="5"/>
        <item x="4"/>
        <item x="1"/>
        <item x="0"/>
        <item t="default"/>
      </items>
    </pivotField>
    <pivotField showAll="0"/>
    <pivotField numFmtId="3" showAll="0"/>
    <pivotField dataField="1" numFmtId="3" showAll="0"/>
    <pivotField numFmtId="3" showAll="0"/>
    <pivotField dataField="1" numFmtId="3" showAll="0"/>
    <pivotField numFmtId="165"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EGP)" fld="10" baseField="0" baseItem="0" numFmtId="3"/>
    <dataField name="Sum of Profit (EGP)" fld="12" baseField="0" baseItem="0" numFmtId="3"/>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0" format="5"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CCE7A88-AD89-4D12-B3D8-6542D773C06D}" sourceName="Quarter">
  <pivotTables>
    <pivotTable tabId="2" name="PivotTable1"/>
    <pivotTable tabId="2" name="PivotTable2"/>
    <pivotTable tabId="2" name="PivotTable4"/>
  </pivotTables>
  <data>
    <tabular pivotCacheId="1151499497">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3D760E6-3BAD-4EEE-8476-079F30CE5BCD}" sourceName="Category">
  <pivotTables>
    <pivotTable tabId="2" name="PivotTable1"/>
    <pivotTable tabId="2" name="PivotTable2"/>
    <pivotTable tabId="2" name="PivotTable4"/>
  </pivotTables>
  <data>
    <tabular pivotCacheId="1151499497">
      <items count="6">
        <i x="2" s="1"/>
        <i x="3" s="1"/>
        <i x="5"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256706-60F9-465D-9A85-F299F6C1864E}" sourceName="Region">
  <pivotTables>
    <pivotTable tabId="2" name="PivotTable1"/>
    <pivotTable tabId="2" name="PivotTable2"/>
    <pivotTable tabId="2" name="PivotTable4"/>
  </pivotTables>
  <data>
    <tabular pivotCacheId="1151499497">
      <items count="6">
        <i x="4" s="1"/>
        <i x="5"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78ED15FC-A695-46C6-BFB8-8592A1A8A1E3}" cache="Slicer_Quarter" caption="Quarter" rowHeight="241300"/>
  <slicer name="Category" xr10:uid="{8AF71126-8AD9-48BC-B8D7-3C4A83A0CF62}" cache="Slicer_Category" caption="Category" rowHeight="241300"/>
  <slicer name="Region" xr10:uid="{CDF058DF-7FB7-4E16-B237-E8FDA105E809}" cache="Slicer_Region" caption="Region"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zoomScaleNormal="100" workbookViewId="0">
      <pane ySplit="1" topLeftCell="A2" activePane="bottomLeft" state="frozen"/>
      <selection pane="bottomLeft" activeCell="L2" sqref="A1:N501"/>
    </sheetView>
  </sheetViews>
  <sheetFormatPr defaultColWidth="21.7109375"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3">
        <v>45293</v>
      </c>
      <c r="C2" s="2" t="s">
        <v>15</v>
      </c>
      <c r="D2" s="2" t="s">
        <v>16</v>
      </c>
      <c r="E2" s="2" t="s">
        <v>17</v>
      </c>
      <c r="F2" s="2" t="s">
        <v>18</v>
      </c>
      <c r="G2" s="2" t="s">
        <v>19</v>
      </c>
      <c r="H2" s="2" t="s">
        <v>20</v>
      </c>
      <c r="I2" s="2">
        <v>3</v>
      </c>
      <c r="J2" s="4">
        <v>5700</v>
      </c>
      <c r="K2" s="4">
        <v>17100</v>
      </c>
      <c r="L2" s="4">
        <v>9405</v>
      </c>
      <c r="M2" s="4">
        <v>7695</v>
      </c>
      <c r="N2" s="5">
        <v>0.45</v>
      </c>
    </row>
    <row r="3" spans="1:14" x14ac:dyDescent="0.25">
      <c r="A3" t="s">
        <v>21</v>
      </c>
      <c r="B3" s="6">
        <v>45295</v>
      </c>
      <c r="C3" t="s">
        <v>15</v>
      </c>
      <c r="D3" t="s">
        <v>16</v>
      </c>
      <c r="E3" t="s">
        <v>22</v>
      </c>
      <c r="F3" t="s">
        <v>23</v>
      </c>
      <c r="G3" t="s">
        <v>24</v>
      </c>
      <c r="H3" t="s">
        <v>25</v>
      </c>
      <c r="I3">
        <v>7</v>
      </c>
      <c r="J3" s="7">
        <v>14600</v>
      </c>
      <c r="K3" s="7">
        <v>102200</v>
      </c>
      <c r="L3" s="7">
        <v>59276</v>
      </c>
      <c r="M3" s="7">
        <v>42924</v>
      </c>
      <c r="N3" s="8">
        <v>0.42</v>
      </c>
    </row>
    <row r="4" spans="1:14" x14ac:dyDescent="0.25">
      <c r="A4" s="2" t="s">
        <v>26</v>
      </c>
      <c r="B4" s="3">
        <v>45295</v>
      </c>
      <c r="C4" s="2" t="s">
        <v>15</v>
      </c>
      <c r="D4" s="2" t="s">
        <v>16</v>
      </c>
      <c r="E4" s="2" t="s">
        <v>27</v>
      </c>
      <c r="F4" s="2" t="s">
        <v>28</v>
      </c>
      <c r="G4" s="2" t="s">
        <v>29</v>
      </c>
      <c r="H4" s="2" t="s">
        <v>30</v>
      </c>
      <c r="I4" s="2">
        <v>4</v>
      </c>
      <c r="J4" s="4">
        <v>2400</v>
      </c>
      <c r="K4" s="4">
        <v>9600</v>
      </c>
      <c r="L4" s="4">
        <v>4320</v>
      </c>
      <c r="M4" s="4">
        <v>5280</v>
      </c>
      <c r="N4" s="5">
        <v>0.55000000000000004</v>
      </c>
    </row>
    <row r="5" spans="1:14" x14ac:dyDescent="0.25">
      <c r="A5" t="s">
        <v>31</v>
      </c>
      <c r="B5" s="6">
        <v>45295</v>
      </c>
      <c r="C5" t="s">
        <v>15</v>
      </c>
      <c r="D5" t="s">
        <v>16</v>
      </c>
      <c r="E5" t="s">
        <v>32</v>
      </c>
      <c r="F5" t="s">
        <v>33</v>
      </c>
      <c r="G5" t="s">
        <v>34</v>
      </c>
      <c r="H5" t="s">
        <v>35</v>
      </c>
      <c r="I5">
        <v>4</v>
      </c>
      <c r="J5" s="7">
        <v>3300</v>
      </c>
      <c r="K5" s="7">
        <v>13200</v>
      </c>
      <c r="L5" s="7">
        <v>6336</v>
      </c>
      <c r="M5" s="7">
        <v>6864</v>
      </c>
      <c r="N5" s="8">
        <v>0.52</v>
      </c>
    </row>
    <row r="6" spans="1:14" x14ac:dyDescent="0.25">
      <c r="A6" s="2" t="s">
        <v>36</v>
      </c>
      <c r="B6" s="3">
        <v>45296</v>
      </c>
      <c r="C6" s="2" t="s">
        <v>15</v>
      </c>
      <c r="D6" s="2" t="s">
        <v>16</v>
      </c>
      <c r="E6" s="2" t="s">
        <v>37</v>
      </c>
      <c r="F6" s="2" t="s">
        <v>28</v>
      </c>
      <c r="G6" s="2" t="s">
        <v>38</v>
      </c>
      <c r="H6" s="2" t="s">
        <v>39</v>
      </c>
      <c r="I6" s="2">
        <v>5</v>
      </c>
      <c r="J6" s="4">
        <v>12100</v>
      </c>
      <c r="K6" s="4">
        <v>60500</v>
      </c>
      <c r="L6" s="4">
        <v>36300</v>
      </c>
      <c r="M6" s="4">
        <v>24200</v>
      </c>
      <c r="N6" s="5">
        <v>0.4</v>
      </c>
    </row>
    <row r="7" spans="1:14" x14ac:dyDescent="0.25">
      <c r="A7" t="s">
        <v>40</v>
      </c>
      <c r="B7" s="6">
        <v>45297</v>
      </c>
      <c r="C7" t="s">
        <v>15</v>
      </c>
      <c r="D7" t="s">
        <v>16</v>
      </c>
      <c r="E7" t="s">
        <v>37</v>
      </c>
      <c r="F7" t="s">
        <v>23</v>
      </c>
      <c r="G7" t="s">
        <v>38</v>
      </c>
      <c r="H7" t="s">
        <v>39</v>
      </c>
      <c r="I7">
        <v>9</v>
      </c>
      <c r="J7" s="7">
        <v>11600</v>
      </c>
      <c r="K7" s="7">
        <v>104400</v>
      </c>
      <c r="L7" s="7">
        <v>62640</v>
      </c>
      <c r="M7" s="7">
        <v>41760</v>
      </c>
      <c r="N7" s="8">
        <v>0.4</v>
      </c>
    </row>
    <row r="8" spans="1:14" x14ac:dyDescent="0.25">
      <c r="A8" s="2" t="s">
        <v>41</v>
      </c>
      <c r="B8" s="3">
        <v>45303</v>
      </c>
      <c r="C8" s="2" t="s">
        <v>15</v>
      </c>
      <c r="D8" s="2" t="s">
        <v>16</v>
      </c>
      <c r="E8" s="2" t="s">
        <v>37</v>
      </c>
      <c r="F8" s="2" t="s">
        <v>42</v>
      </c>
      <c r="G8" s="2" t="s">
        <v>24</v>
      </c>
      <c r="H8" s="2" t="s">
        <v>25</v>
      </c>
      <c r="I8" s="2">
        <v>3</v>
      </c>
      <c r="J8" s="4">
        <v>15900</v>
      </c>
      <c r="K8" s="4">
        <v>47700</v>
      </c>
      <c r="L8" s="4">
        <v>27666</v>
      </c>
      <c r="M8" s="4">
        <v>20034</v>
      </c>
      <c r="N8" s="5">
        <v>0.42</v>
      </c>
    </row>
    <row r="9" spans="1:14" x14ac:dyDescent="0.25">
      <c r="A9" t="s">
        <v>43</v>
      </c>
      <c r="B9" s="6">
        <v>45306</v>
      </c>
      <c r="C9" t="s">
        <v>15</v>
      </c>
      <c r="D9" t="s">
        <v>16</v>
      </c>
      <c r="E9" t="s">
        <v>37</v>
      </c>
      <c r="F9" t="s">
        <v>42</v>
      </c>
      <c r="G9" t="s">
        <v>34</v>
      </c>
      <c r="H9" t="s">
        <v>35</v>
      </c>
      <c r="I9">
        <v>7</v>
      </c>
      <c r="J9" s="7">
        <v>3400</v>
      </c>
      <c r="K9" s="7">
        <v>23800</v>
      </c>
      <c r="L9" s="7">
        <v>11424</v>
      </c>
      <c r="M9" s="7">
        <v>12376</v>
      </c>
      <c r="N9" s="8">
        <v>0.52</v>
      </c>
    </row>
    <row r="10" spans="1:14" x14ac:dyDescent="0.25">
      <c r="A10" s="2" t="s">
        <v>44</v>
      </c>
      <c r="B10" s="3">
        <v>45309</v>
      </c>
      <c r="C10" s="2" t="s">
        <v>15</v>
      </c>
      <c r="D10" s="2" t="s">
        <v>16</v>
      </c>
      <c r="E10" s="2" t="s">
        <v>27</v>
      </c>
      <c r="F10" s="2" t="s">
        <v>33</v>
      </c>
      <c r="G10" s="2" t="s">
        <v>45</v>
      </c>
      <c r="H10" s="2" t="s">
        <v>46</v>
      </c>
      <c r="I10" s="2">
        <v>1</v>
      </c>
      <c r="J10" s="4">
        <v>9400</v>
      </c>
      <c r="K10" s="4">
        <v>9400</v>
      </c>
      <c r="L10" s="4">
        <v>5640</v>
      </c>
      <c r="M10" s="4">
        <v>3760</v>
      </c>
      <c r="N10" s="5">
        <v>0.4</v>
      </c>
    </row>
    <row r="11" spans="1:14" x14ac:dyDescent="0.25">
      <c r="A11" t="s">
        <v>47</v>
      </c>
      <c r="B11" s="6">
        <v>45310</v>
      </c>
      <c r="C11" t="s">
        <v>15</v>
      </c>
      <c r="D11" t="s">
        <v>16</v>
      </c>
      <c r="E11" t="s">
        <v>37</v>
      </c>
      <c r="F11" t="s">
        <v>28</v>
      </c>
      <c r="G11" t="s">
        <v>29</v>
      </c>
      <c r="H11" t="s">
        <v>30</v>
      </c>
      <c r="I11">
        <v>1</v>
      </c>
      <c r="J11" s="7">
        <v>2400</v>
      </c>
      <c r="K11" s="7">
        <v>2400</v>
      </c>
      <c r="L11" s="7">
        <v>1080</v>
      </c>
      <c r="M11" s="7">
        <v>1320</v>
      </c>
      <c r="N11" s="8">
        <v>0.55000000000000004</v>
      </c>
    </row>
    <row r="12" spans="1:14" x14ac:dyDescent="0.25">
      <c r="A12" s="2" t="s">
        <v>48</v>
      </c>
      <c r="B12" s="3">
        <v>45310</v>
      </c>
      <c r="C12" s="2" t="s">
        <v>15</v>
      </c>
      <c r="D12" s="2" t="s">
        <v>16</v>
      </c>
      <c r="E12" s="2" t="s">
        <v>37</v>
      </c>
      <c r="F12" s="2" t="s">
        <v>28</v>
      </c>
      <c r="G12" s="2" t="s">
        <v>34</v>
      </c>
      <c r="H12" s="2" t="s">
        <v>35</v>
      </c>
      <c r="I12" s="2">
        <v>3</v>
      </c>
      <c r="J12" s="4">
        <v>3800</v>
      </c>
      <c r="K12" s="4">
        <v>11400</v>
      </c>
      <c r="L12" s="4">
        <v>5472</v>
      </c>
      <c r="M12" s="4">
        <v>5928</v>
      </c>
      <c r="N12" s="5">
        <v>0.52</v>
      </c>
    </row>
    <row r="13" spans="1:14" x14ac:dyDescent="0.25">
      <c r="A13" t="s">
        <v>49</v>
      </c>
      <c r="B13" s="6">
        <v>45311</v>
      </c>
      <c r="C13" t="s">
        <v>15</v>
      </c>
      <c r="D13" t="s">
        <v>16</v>
      </c>
      <c r="E13" t="s">
        <v>32</v>
      </c>
      <c r="F13" t="s">
        <v>33</v>
      </c>
      <c r="G13" t="s">
        <v>50</v>
      </c>
      <c r="H13" t="s">
        <v>46</v>
      </c>
      <c r="I13">
        <v>5</v>
      </c>
      <c r="J13" s="7">
        <v>24800</v>
      </c>
      <c r="K13" s="7">
        <v>124000</v>
      </c>
      <c r="L13" s="7">
        <v>80600</v>
      </c>
      <c r="M13" s="7">
        <v>43400</v>
      </c>
      <c r="N13" s="8">
        <v>0.35</v>
      </c>
    </row>
    <row r="14" spans="1:14" x14ac:dyDescent="0.25">
      <c r="A14" s="2" t="s">
        <v>51</v>
      </c>
      <c r="B14" s="3">
        <v>45311</v>
      </c>
      <c r="C14" s="2" t="s">
        <v>15</v>
      </c>
      <c r="D14" s="2" t="s">
        <v>16</v>
      </c>
      <c r="E14" s="2" t="s">
        <v>32</v>
      </c>
      <c r="F14" s="2" t="s">
        <v>28</v>
      </c>
      <c r="G14" s="2" t="s">
        <v>50</v>
      </c>
      <c r="H14" s="2" t="s">
        <v>46</v>
      </c>
      <c r="I14" s="2">
        <v>10</v>
      </c>
      <c r="J14" s="4">
        <v>24400</v>
      </c>
      <c r="K14" s="4">
        <v>244000</v>
      </c>
      <c r="L14" s="4">
        <v>158600</v>
      </c>
      <c r="M14" s="4">
        <v>85400</v>
      </c>
      <c r="N14" s="5">
        <v>0.35</v>
      </c>
    </row>
    <row r="15" spans="1:14" x14ac:dyDescent="0.25">
      <c r="A15" t="s">
        <v>52</v>
      </c>
      <c r="B15" s="6">
        <v>45312</v>
      </c>
      <c r="C15" t="s">
        <v>15</v>
      </c>
      <c r="D15" t="s">
        <v>16</v>
      </c>
      <c r="E15" t="s">
        <v>37</v>
      </c>
      <c r="F15" t="s">
        <v>18</v>
      </c>
      <c r="G15" t="s">
        <v>24</v>
      </c>
      <c r="H15" t="s">
        <v>25</v>
      </c>
      <c r="I15">
        <v>4</v>
      </c>
      <c r="J15" s="7">
        <v>14300</v>
      </c>
      <c r="K15" s="7">
        <v>57200</v>
      </c>
      <c r="L15" s="7">
        <v>33176</v>
      </c>
      <c r="M15" s="7">
        <v>24024</v>
      </c>
      <c r="N15" s="8">
        <v>0.42</v>
      </c>
    </row>
    <row r="16" spans="1:14" x14ac:dyDescent="0.25">
      <c r="A16" s="2" t="s">
        <v>53</v>
      </c>
      <c r="B16" s="3">
        <v>45313</v>
      </c>
      <c r="C16" s="2" t="s">
        <v>15</v>
      </c>
      <c r="D16" s="2" t="s">
        <v>16</v>
      </c>
      <c r="E16" s="2" t="s">
        <v>54</v>
      </c>
      <c r="F16" s="2" t="s">
        <v>33</v>
      </c>
      <c r="G16" s="2" t="s">
        <v>24</v>
      </c>
      <c r="H16" s="2" t="s">
        <v>25</v>
      </c>
      <c r="I16" s="2">
        <v>7</v>
      </c>
      <c r="J16" s="4">
        <v>15800</v>
      </c>
      <c r="K16" s="4">
        <v>110600</v>
      </c>
      <c r="L16" s="4">
        <v>64148</v>
      </c>
      <c r="M16" s="4">
        <v>46452</v>
      </c>
      <c r="N16" s="5">
        <v>0.42</v>
      </c>
    </row>
    <row r="17" spans="1:14" x14ac:dyDescent="0.25">
      <c r="A17" t="s">
        <v>55</v>
      </c>
      <c r="B17" s="6">
        <v>45314</v>
      </c>
      <c r="C17" t="s">
        <v>15</v>
      </c>
      <c r="D17" t="s">
        <v>16</v>
      </c>
      <c r="E17" t="s">
        <v>32</v>
      </c>
      <c r="F17" t="s">
        <v>23</v>
      </c>
      <c r="G17" t="s">
        <v>45</v>
      </c>
      <c r="H17" t="s">
        <v>46</v>
      </c>
      <c r="I17">
        <v>7</v>
      </c>
      <c r="J17" s="7">
        <v>9300</v>
      </c>
      <c r="K17" s="7">
        <v>65100</v>
      </c>
      <c r="L17" s="7">
        <v>39060</v>
      </c>
      <c r="M17" s="7">
        <v>26040</v>
      </c>
      <c r="N17" s="8">
        <v>0.4</v>
      </c>
    </row>
    <row r="18" spans="1:14" x14ac:dyDescent="0.25">
      <c r="A18" s="2" t="s">
        <v>56</v>
      </c>
      <c r="B18" s="3">
        <v>45314</v>
      </c>
      <c r="C18" s="2" t="s">
        <v>15</v>
      </c>
      <c r="D18" s="2" t="s">
        <v>16</v>
      </c>
      <c r="E18" s="2" t="s">
        <v>37</v>
      </c>
      <c r="F18" s="2" t="s">
        <v>33</v>
      </c>
      <c r="G18" s="2" t="s">
        <v>34</v>
      </c>
      <c r="H18" s="2" t="s">
        <v>35</v>
      </c>
      <c r="I18" s="2">
        <v>9</v>
      </c>
      <c r="J18" s="4">
        <v>3200</v>
      </c>
      <c r="K18" s="4">
        <v>28800</v>
      </c>
      <c r="L18" s="4">
        <v>13824</v>
      </c>
      <c r="M18" s="4">
        <v>14976</v>
      </c>
      <c r="N18" s="5">
        <v>0.52</v>
      </c>
    </row>
    <row r="19" spans="1:14" x14ac:dyDescent="0.25">
      <c r="A19" t="s">
        <v>57</v>
      </c>
      <c r="B19" s="6">
        <v>45314</v>
      </c>
      <c r="C19" t="s">
        <v>15</v>
      </c>
      <c r="D19" t="s">
        <v>16</v>
      </c>
      <c r="E19" t="s">
        <v>27</v>
      </c>
      <c r="F19" t="s">
        <v>18</v>
      </c>
      <c r="G19" t="s">
        <v>34</v>
      </c>
      <c r="H19" t="s">
        <v>35</v>
      </c>
      <c r="I19">
        <v>9</v>
      </c>
      <c r="J19" s="7">
        <v>3500</v>
      </c>
      <c r="K19" s="7">
        <v>31500</v>
      </c>
      <c r="L19" s="7">
        <v>15120</v>
      </c>
      <c r="M19" s="7">
        <v>16380</v>
      </c>
      <c r="N19" s="8">
        <v>0.52</v>
      </c>
    </row>
    <row r="20" spans="1:14" x14ac:dyDescent="0.25">
      <c r="A20" s="2" t="s">
        <v>58</v>
      </c>
      <c r="B20" s="3">
        <v>45315</v>
      </c>
      <c r="C20" s="2" t="s">
        <v>15</v>
      </c>
      <c r="D20" s="2" t="s">
        <v>16</v>
      </c>
      <c r="E20" s="2" t="s">
        <v>32</v>
      </c>
      <c r="F20" s="2" t="s">
        <v>59</v>
      </c>
      <c r="G20" s="2" t="s">
        <v>29</v>
      </c>
      <c r="H20" s="2" t="s">
        <v>30</v>
      </c>
      <c r="I20" s="2">
        <v>10</v>
      </c>
      <c r="J20" s="4">
        <v>2900</v>
      </c>
      <c r="K20" s="4">
        <v>29000</v>
      </c>
      <c r="L20" s="4">
        <v>13050</v>
      </c>
      <c r="M20" s="4">
        <v>15950</v>
      </c>
      <c r="N20" s="5">
        <v>0.55000000000000004</v>
      </c>
    </row>
    <row r="21" spans="1:14" x14ac:dyDescent="0.25">
      <c r="A21" t="s">
        <v>60</v>
      </c>
      <c r="B21" s="6">
        <v>45315</v>
      </c>
      <c r="C21" t="s">
        <v>15</v>
      </c>
      <c r="D21" t="s">
        <v>16</v>
      </c>
      <c r="E21" t="s">
        <v>37</v>
      </c>
      <c r="F21" t="s">
        <v>59</v>
      </c>
      <c r="G21" t="s">
        <v>50</v>
      </c>
      <c r="H21" t="s">
        <v>46</v>
      </c>
      <c r="I21">
        <v>3</v>
      </c>
      <c r="J21" s="7">
        <v>26000</v>
      </c>
      <c r="K21" s="7">
        <v>78000</v>
      </c>
      <c r="L21" s="7">
        <v>50700</v>
      </c>
      <c r="M21" s="7">
        <v>27300</v>
      </c>
      <c r="N21" s="8">
        <v>0.35</v>
      </c>
    </row>
    <row r="22" spans="1:14" x14ac:dyDescent="0.25">
      <c r="A22" s="2" t="s">
        <v>61</v>
      </c>
      <c r="B22" s="3">
        <v>45315</v>
      </c>
      <c r="C22" s="2" t="s">
        <v>15</v>
      </c>
      <c r="D22" s="2" t="s">
        <v>16</v>
      </c>
      <c r="E22" s="2" t="s">
        <v>17</v>
      </c>
      <c r="F22" s="2" t="s">
        <v>23</v>
      </c>
      <c r="G22" s="2" t="s">
        <v>38</v>
      </c>
      <c r="H22" s="2" t="s">
        <v>39</v>
      </c>
      <c r="I22" s="2">
        <v>5</v>
      </c>
      <c r="J22" s="4">
        <v>12900</v>
      </c>
      <c r="K22" s="4">
        <v>64500</v>
      </c>
      <c r="L22" s="4">
        <v>38700</v>
      </c>
      <c r="M22" s="4">
        <v>25800</v>
      </c>
      <c r="N22" s="5">
        <v>0.4</v>
      </c>
    </row>
    <row r="23" spans="1:14" x14ac:dyDescent="0.25">
      <c r="A23" t="s">
        <v>62</v>
      </c>
      <c r="B23" s="6">
        <v>45318</v>
      </c>
      <c r="C23" t="s">
        <v>15</v>
      </c>
      <c r="D23" t="s">
        <v>16</v>
      </c>
      <c r="E23" t="s">
        <v>32</v>
      </c>
      <c r="F23" t="s">
        <v>33</v>
      </c>
      <c r="G23" t="s">
        <v>63</v>
      </c>
      <c r="H23" t="s">
        <v>46</v>
      </c>
      <c r="I23">
        <v>9</v>
      </c>
      <c r="J23" s="7">
        <v>8700</v>
      </c>
      <c r="K23" s="7">
        <v>78300</v>
      </c>
      <c r="L23" s="7">
        <v>48546</v>
      </c>
      <c r="M23" s="7">
        <v>29754</v>
      </c>
      <c r="N23" s="8">
        <v>0.38</v>
      </c>
    </row>
    <row r="24" spans="1:14" x14ac:dyDescent="0.25">
      <c r="A24" s="2" t="s">
        <v>64</v>
      </c>
      <c r="B24" s="3">
        <v>45318</v>
      </c>
      <c r="C24" s="2" t="s">
        <v>15</v>
      </c>
      <c r="D24" s="2" t="s">
        <v>16</v>
      </c>
      <c r="E24" s="2" t="s">
        <v>32</v>
      </c>
      <c r="F24" s="2" t="s">
        <v>33</v>
      </c>
      <c r="G24" s="2" t="s">
        <v>63</v>
      </c>
      <c r="H24" s="2" t="s">
        <v>46</v>
      </c>
      <c r="I24" s="2">
        <v>10</v>
      </c>
      <c r="J24" s="4">
        <v>7500</v>
      </c>
      <c r="K24" s="4">
        <v>75000</v>
      </c>
      <c r="L24" s="4">
        <v>46500</v>
      </c>
      <c r="M24" s="4">
        <v>28500</v>
      </c>
      <c r="N24" s="5">
        <v>0.38</v>
      </c>
    </row>
    <row r="25" spans="1:14" x14ac:dyDescent="0.25">
      <c r="A25" t="s">
        <v>65</v>
      </c>
      <c r="B25" s="6">
        <v>45319</v>
      </c>
      <c r="C25" t="s">
        <v>15</v>
      </c>
      <c r="D25" t="s">
        <v>16</v>
      </c>
      <c r="E25" t="s">
        <v>54</v>
      </c>
      <c r="F25" t="s">
        <v>18</v>
      </c>
      <c r="G25" t="s">
        <v>63</v>
      </c>
      <c r="H25" t="s">
        <v>46</v>
      </c>
      <c r="I25">
        <v>10</v>
      </c>
      <c r="J25" s="7">
        <v>7500</v>
      </c>
      <c r="K25" s="7">
        <v>75000</v>
      </c>
      <c r="L25" s="7">
        <v>46500</v>
      </c>
      <c r="M25" s="7">
        <v>28500</v>
      </c>
      <c r="N25" s="8">
        <v>0.38</v>
      </c>
    </row>
    <row r="26" spans="1:14" x14ac:dyDescent="0.25">
      <c r="A26" s="2" t="s">
        <v>66</v>
      </c>
      <c r="B26" s="3">
        <v>45319</v>
      </c>
      <c r="C26" s="2" t="s">
        <v>15</v>
      </c>
      <c r="D26" s="2" t="s">
        <v>16</v>
      </c>
      <c r="E26" s="2" t="s">
        <v>22</v>
      </c>
      <c r="F26" s="2" t="s">
        <v>33</v>
      </c>
      <c r="G26" s="2" t="s">
        <v>29</v>
      </c>
      <c r="H26" s="2" t="s">
        <v>30</v>
      </c>
      <c r="I26" s="2">
        <v>10</v>
      </c>
      <c r="J26" s="4">
        <v>2600</v>
      </c>
      <c r="K26" s="4">
        <v>26000</v>
      </c>
      <c r="L26" s="4">
        <v>11700</v>
      </c>
      <c r="M26" s="4">
        <v>14300</v>
      </c>
      <c r="N26" s="5">
        <v>0.55000000000000004</v>
      </c>
    </row>
    <row r="27" spans="1:14" x14ac:dyDescent="0.25">
      <c r="A27" t="s">
        <v>67</v>
      </c>
      <c r="B27" s="6">
        <v>45319</v>
      </c>
      <c r="C27" t="s">
        <v>15</v>
      </c>
      <c r="D27" t="s">
        <v>16</v>
      </c>
      <c r="E27" t="s">
        <v>22</v>
      </c>
      <c r="F27" t="s">
        <v>18</v>
      </c>
      <c r="G27" t="s">
        <v>34</v>
      </c>
      <c r="H27" t="s">
        <v>35</v>
      </c>
      <c r="I27">
        <v>4</v>
      </c>
      <c r="J27" s="7">
        <v>3600</v>
      </c>
      <c r="K27" s="7">
        <v>14400</v>
      </c>
      <c r="L27" s="7">
        <v>6912</v>
      </c>
      <c r="M27" s="7">
        <v>7488</v>
      </c>
      <c r="N27" s="8">
        <v>0.52</v>
      </c>
    </row>
    <row r="28" spans="1:14" x14ac:dyDescent="0.25">
      <c r="A28" s="2" t="s">
        <v>68</v>
      </c>
      <c r="B28" s="3">
        <v>45320</v>
      </c>
      <c r="C28" s="2" t="s">
        <v>15</v>
      </c>
      <c r="D28" s="2" t="s">
        <v>16</v>
      </c>
      <c r="E28" s="2" t="s">
        <v>22</v>
      </c>
      <c r="F28" s="2" t="s">
        <v>59</v>
      </c>
      <c r="G28" s="2" t="s">
        <v>24</v>
      </c>
      <c r="H28" s="2" t="s">
        <v>25</v>
      </c>
      <c r="I28" s="2">
        <v>5</v>
      </c>
      <c r="J28" s="4">
        <v>15400</v>
      </c>
      <c r="K28" s="4">
        <v>77000</v>
      </c>
      <c r="L28" s="4">
        <v>44660</v>
      </c>
      <c r="M28" s="4">
        <v>32340</v>
      </c>
      <c r="N28" s="5">
        <v>0.42</v>
      </c>
    </row>
    <row r="29" spans="1:14" x14ac:dyDescent="0.25">
      <c r="A29" t="s">
        <v>69</v>
      </c>
      <c r="B29" s="6">
        <v>45320</v>
      </c>
      <c r="C29" t="s">
        <v>15</v>
      </c>
      <c r="D29" t="s">
        <v>16</v>
      </c>
      <c r="E29" t="s">
        <v>27</v>
      </c>
      <c r="F29" t="s">
        <v>42</v>
      </c>
      <c r="G29" t="s">
        <v>38</v>
      </c>
      <c r="H29" t="s">
        <v>39</v>
      </c>
      <c r="I29">
        <v>5</v>
      </c>
      <c r="J29" s="7">
        <v>12400</v>
      </c>
      <c r="K29" s="7">
        <v>62000</v>
      </c>
      <c r="L29" s="7">
        <v>37200</v>
      </c>
      <c r="M29" s="7">
        <v>24800</v>
      </c>
      <c r="N29" s="8">
        <v>0.4</v>
      </c>
    </row>
    <row r="30" spans="1:14" x14ac:dyDescent="0.25">
      <c r="A30" s="2" t="s">
        <v>70</v>
      </c>
      <c r="B30" s="3">
        <v>45321</v>
      </c>
      <c r="C30" s="2" t="s">
        <v>15</v>
      </c>
      <c r="D30" s="2" t="s">
        <v>16</v>
      </c>
      <c r="E30" s="2" t="s">
        <v>54</v>
      </c>
      <c r="F30" s="2" t="s">
        <v>23</v>
      </c>
      <c r="G30" s="2" t="s">
        <v>38</v>
      </c>
      <c r="H30" s="2" t="s">
        <v>39</v>
      </c>
      <c r="I30" s="2">
        <v>7</v>
      </c>
      <c r="J30" s="4">
        <v>12800</v>
      </c>
      <c r="K30" s="4">
        <v>89600</v>
      </c>
      <c r="L30" s="4">
        <v>53760</v>
      </c>
      <c r="M30" s="4">
        <v>35840</v>
      </c>
      <c r="N30" s="5">
        <v>0.4</v>
      </c>
    </row>
    <row r="31" spans="1:14" x14ac:dyDescent="0.25">
      <c r="A31" t="s">
        <v>71</v>
      </c>
      <c r="B31" s="6">
        <v>45322</v>
      </c>
      <c r="C31" t="s">
        <v>15</v>
      </c>
      <c r="D31" t="s">
        <v>16</v>
      </c>
      <c r="E31" t="s">
        <v>54</v>
      </c>
      <c r="F31" t="s">
        <v>59</v>
      </c>
      <c r="G31" t="s">
        <v>63</v>
      </c>
      <c r="H31" t="s">
        <v>46</v>
      </c>
      <c r="I31">
        <v>7</v>
      </c>
      <c r="J31" s="7">
        <v>8000</v>
      </c>
      <c r="K31" s="7">
        <v>56000</v>
      </c>
      <c r="L31" s="7">
        <v>34720</v>
      </c>
      <c r="M31" s="7">
        <v>21280</v>
      </c>
      <c r="N31" s="8">
        <v>0.38</v>
      </c>
    </row>
    <row r="32" spans="1:14" x14ac:dyDescent="0.25">
      <c r="A32" s="2" t="s">
        <v>72</v>
      </c>
      <c r="B32" s="3">
        <v>45323</v>
      </c>
      <c r="C32" s="2" t="s">
        <v>73</v>
      </c>
      <c r="D32" s="2" t="s">
        <v>16</v>
      </c>
      <c r="E32" s="2" t="s">
        <v>37</v>
      </c>
      <c r="F32" s="2" t="s">
        <v>18</v>
      </c>
      <c r="G32" s="2" t="s">
        <v>45</v>
      </c>
      <c r="H32" s="2" t="s">
        <v>46</v>
      </c>
      <c r="I32" s="2">
        <v>6</v>
      </c>
      <c r="J32" s="4">
        <v>8300</v>
      </c>
      <c r="K32" s="4">
        <v>49800</v>
      </c>
      <c r="L32" s="4">
        <v>29880</v>
      </c>
      <c r="M32" s="4">
        <v>19920</v>
      </c>
      <c r="N32" s="5">
        <v>0.4</v>
      </c>
    </row>
    <row r="33" spans="1:14" x14ac:dyDescent="0.25">
      <c r="A33" t="s">
        <v>74</v>
      </c>
      <c r="B33" s="6">
        <v>45323</v>
      </c>
      <c r="C33" t="s">
        <v>73</v>
      </c>
      <c r="D33" t="s">
        <v>16</v>
      </c>
      <c r="E33" t="s">
        <v>22</v>
      </c>
      <c r="F33" t="s">
        <v>33</v>
      </c>
      <c r="G33" t="s">
        <v>38</v>
      </c>
      <c r="H33" t="s">
        <v>39</v>
      </c>
      <c r="I33">
        <v>3</v>
      </c>
      <c r="J33" s="7">
        <v>12200</v>
      </c>
      <c r="K33" s="7">
        <v>36600</v>
      </c>
      <c r="L33" s="7">
        <v>21960</v>
      </c>
      <c r="M33" s="7">
        <v>14640</v>
      </c>
      <c r="N33" s="8">
        <v>0.4</v>
      </c>
    </row>
    <row r="34" spans="1:14" x14ac:dyDescent="0.25">
      <c r="A34" s="2" t="s">
        <v>75</v>
      </c>
      <c r="B34" s="3">
        <v>45324</v>
      </c>
      <c r="C34" s="2" t="s">
        <v>73</v>
      </c>
      <c r="D34" s="2" t="s">
        <v>16</v>
      </c>
      <c r="E34" s="2" t="s">
        <v>17</v>
      </c>
      <c r="F34" s="2" t="s">
        <v>23</v>
      </c>
      <c r="G34" s="2" t="s">
        <v>45</v>
      </c>
      <c r="H34" s="2" t="s">
        <v>46</v>
      </c>
      <c r="I34" s="2">
        <v>6</v>
      </c>
      <c r="J34" s="4">
        <v>9100</v>
      </c>
      <c r="K34" s="4">
        <v>54600</v>
      </c>
      <c r="L34" s="4">
        <v>32760</v>
      </c>
      <c r="M34" s="4">
        <v>21840</v>
      </c>
      <c r="N34" s="5">
        <v>0.4</v>
      </c>
    </row>
    <row r="35" spans="1:14" x14ac:dyDescent="0.25">
      <c r="A35" t="s">
        <v>76</v>
      </c>
      <c r="B35" s="6">
        <v>45325</v>
      </c>
      <c r="C35" t="s">
        <v>73</v>
      </c>
      <c r="D35" t="s">
        <v>16</v>
      </c>
      <c r="E35" t="s">
        <v>37</v>
      </c>
      <c r="F35" t="s">
        <v>33</v>
      </c>
      <c r="G35" t="s">
        <v>34</v>
      </c>
      <c r="H35" t="s">
        <v>35</v>
      </c>
      <c r="I35">
        <v>10</v>
      </c>
      <c r="J35" s="7">
        <v>3600</v>
      </c>
      <c r="K35" s="7">
        <v>36000</v>
      </c>
      <c r="L35" s="7">
        <v>17280</v>
      </c>
      <c r="M35" s="7">
        <v>18720</v>
      </c>
      <c r="N35" s="8">
        <v>0.52</v>
      </c>
    </row>
    <row r="36" spans="1:14" x14ac:dyDescent="0.25">
      <c r="A36" s="2" t="s">
        <v>77</v>
      </c>
      <c r="B36" s="3">
        <v>45326</v>
      </c>
      <c r="C36" s="2" t="s">
        <v>73</v>
      </c>
      <c r="D36" s="2" t="s">
        <v>16</v>
      </c>
      <c r="E36" s="2" t="s">
        <v>22</v>
      </c>
      <c r="F36" s="2" t="s">
        <v>18</v>
      </c>
      <c r="G36" s="2" t="s">
        <v>38</v>
      </c>
      <c r="H36" s="2" t="s">
        <v>39</v>
      </c>
      <c r="I36" s="2">
        <v>2</v>
      </c>
      <c r="J36" s="4">
        <v>13300</v>
      </c>
      <c r="K36" s="4">
        <v>26600</v>
      </c>
      <c r="L36" s="4">
        <v>15960</v>
      </c>
      <c r="M36" s="4">
        <v>10640</v>
      </c>
      <c r="N36" s="5">
        <v>0.4</v>
      </c>
    </row>
    <row r="37" spans="1:14" x14ac:dyDescent="0.25">
      <c r="A37" t="s">
        <v>78</v>
      </c>
      <c r="B37" s="6">
        <v>45326</v>
      </c>
      <c r="C37" t="s">
        <v>73</v>
      </c>
      <c r="D37" t="s">
        <v>16</v>
      </c>
      <c r="E37" t="s">
        <v>54</v>
      </c>
      <c r="F37" t="s">
        <v>23</v>
      </c>
      <c r="G37" t="s">
        <v>45</v>
      </c>
      <c r="H37" t="s">
        <v>46</v>
      </c>
      <c r="I37">
        <v>5</v>
      </c>
      <c r="J37" s="7">
        <v>9100</v>
      </c>
      <c r="K37" s="7">
        <v>45500</v>
      </c>
      <c r="L37" s="7">
        <v>27300</v>
      </c>
      <c r="M37" s="7">
        <v>18200</v>
      </c>
      <c r="N37" s="8">
        <v>0.4</v>
      </c>
    </row>
    <row r="38" spans="1:14" x14ac:dyDescent="0.25">
      <c r="A38" s="2" t="s">
        <v>79</v>
      </c>
      <c r="B38" s="3">
        <v>45327</v>
      </c>
      <c r="C38" s="2" t="s">
        <v>73</v>
      </c>
      <c r="D38" s="2" t="s">
        <v>16</v>
      </c>
      <c r="E38" s="2" t="s">
        <v>22</v>
      </c>
      <c r="F38" s="2" t="s">
        <v>18</v>
      </c>
      <c r="G38" s="2" t="s">
        <v>38</v>
      </c>
      <c r="H38" s="2" t="s">
        <v>39</v>
      </c>
      <c r="I38" s="2">
        <v>4</v>
      </c>
      <c r="J38" s="4">
        <v>12800</v>
      </c>
      <c r="K38" s="4">
        <v>51200</v>
      </c>
      <c r="L38" s="4">
        <v>30720</v>
      </c>
      <c r="M38" s="4">
        <v>20480</v>
      </c>
      <c r="N38" s="5">
        <v>0.4</v>
      </c>
    </row>
    <row r="39" spans="1:14" x14ac:dyDescent="0.25">
      <c r="A39" t="s">
        <v>80</v>
      </c>
      <c r="B39" s="6">
        <v>45327</v>
      </c>
      <c r="C39" t="s">
        <v>73</v>
      </c>
      <c r="D39" t="s">
        <v>16</v>
      </c>
      <c r="E39" t="s">
        <v>22</v>
      </c>
      <c r="F39" t="s">
        <v>18</v>
      </c>
      <c r="G39" t="s">
        <v>24</v>
      </c>
      <c r="H39" t="s">
        <v>25</v>
      </c>
      <c r="I39">
        <v>7</v>
      </c>
      <c r="J39" s="7">
        <v>13500</v>
      </c>
      <c r="K39" s="7">
        <v>94500</v>
      </c>
      <c r="L39" s="7">
        <v>54810</v>
      </c>
      <c r="M39" s="7">
        <v>39690</v>
      </c>
      <c r="N39" s="8">
        <v>0.42</v>
      </c>
    </row>
    <row r="40" spans="1:14" x14ac:dyDescent="0.25">
      <c r="A40" s="2" t="s">
        <v>81</v>
      </c>
      <c r="B40" s="3">
        <v>45328</v>
      </c>
      <c r="C40" s="2" t="s">
        <v>73</v>
      </c>
      <c r="D40" s="2" t="s">
        <v>16</v>
      </c>
      <c r="E40" s="2" t="s">
        <v>17</v>
      </c>
      <c r="F40" s="2" t="s">
        <v>33</v>
      </c>
      <c r="G40" s="2" t="s">
        <v>50</v>
      </c>
      <c r="H40" s="2" t="s">
        <v>46</v>
      </c>
      <c r="I40" s="2">
        <v>5</v>
      </c>
      <c r="J40" s="4">
        <v>23500</v>
      </c>
      <c r="K40" s="4">
        <v>117500</v>
      </c>
      <c r="L40" s="4">
        <v>76375</v>
      </c>
      <c r="M40" s="4">
        <v>41125</v>
      </c>
      <c r="N40" s="5">
        <v>0.35</v>
      </c>
    </row>
    <row r="41" spans="1:14" x14ac:dyDescent="0.25">
      <c r="A41" t="s">
        <v>82</v>
      </c>
      <c r="B41" s="6">
        <v>45329</v>
      </c>
      <c r="C41" t="s">
        <v>73</v>
      </c>
      <c r="D41" t="s">
        <v>16</v>
      </c>
      <c r="E41" t="s">
        <v>32</v>
      </c>
      <c r="F41" t="s">
        <v>42</v>
      </c>
      <c r="G41" t="s">
        <v>38</v>
      </c>
      <c r="H41" t="s">
        <v>39</v>
      </c>
      <c r="I41">
        <v>3</v>
      </c>
      <c r="J41" s="7">
        <v>11800</v>
      </c>
      <c r="K41" s="7">
        <v>35400</v>
      </c>
      <c r="L41" s="7">
        <v>21240</v>
      </c>
      <c r="M41" s="7">
        <v>14160</v>
      </c>
      <c r="N41" s="8">
        <v>0.4</v>
      </c>
    </row>
    <row r="42" spans="1:14" x14ac:dyDescent="0.25">
      <c r="A42" s="2" t="s">
        <v>83</v>
      </c>
      <c r="B42" s="3">
        <v>45329</v>
      </c>
      <c r="C42" s="2" t="s">
        <v>73</v>
      </c>
      <c r="D42" s="2" t="s">
        <v>16</v>
      </c>
      <c r="E42" s="2" t="s">
        <v>22</v>
      </c>
      <c r="F42" s="2" t="s">
        <v>59</v>
      </c>
      <c r="G42" s="2" t="s">
        <v>50</v>
      </c>
      <c r="H42" s="2" t="s">
        <v>46</v>
      </c>
      <c r="I42" s="2">
        <v>7</v>
      </c>
      <c r="J42" s="4">
        <v>23500</v>
      </c>
      <c r="K42" s="4">
        <v>164500</v>
      </c>
      <c r="L42" s="4">
        <v>106925</v>
      </c>
      <c r="M42" s="4">
        <v>57575</v>
      </c>
      <c r="N42" s="5">
        <v>0.35</v>
      </c>
    </row>
    <row r="43" spans="1:14" x14ac:dyDescent="0.25">
      <c r="A43" t="s">
        <v>84</v>
      </c>
      <c r="B43" s="6">
        <v>45330</v>
      </c>
      <c r="C43" t="s">
        <v>73</v>
      </c>
      <c r="D43" t="s">
        <v>16</v>
      </c>
      <c r="E43" t="s">
        <v>54</v>
      </c>
      <c r="F43" t="s">
        <v>23</v>
      </c>
      <c r="G43" t="s">
        <v>45</v>
      </c>
      <c r="H43" t="s">
        <v>46</v>
      </c>
      <c r="I43">
        <v>5</v>
      </c>
      <c r="J43" s="7">
        <v>9900</v>
      </c>
      <c r="K43" s="7">
        <v>49500</v>
      </c>
      <c r="L43" s="7">
        <v>29700</v>
      </c>
      <c r="M43" s="7">
        <v>19800</v>
      </c>
      <c r="N43" s="8">
        <v>0.4</v>
      </c>
    </row>
    <row r="44" spans="1:14" x14ac:dyDescent="0.25">
      <c r="A44" s="2" t="s">
        <v>85</v>
      </c>
      <c r="B44" s="3">
        <v>45331</v>
      </c>
      <c r="C44" s="2" t="s">
        <v>73</v>
      </c>
      <c r="D44" s="2" t="s">
        <v>16</v>
      </c>
      <c r="E44" s="2" t="s">
        <v>54</v>
      </c>
      <c r="F44" s="2" t="s">
        <v>28</v>
      </c>
      <c r="G44" s="2" t="s">
        <v>38</v>
      </c>
      <c r="H44" s="2" t="s">
        <v>39</v>
      </c>
      <c r="I44" s="2">
        <v>4</v>
      </c>
      <c r="J44" s="4">
        <v>12400</v>
      </c>
      <c r="K44" s="4">
        <v>49600</v>
      </c>
      <c r="L44" s="4">
        <v>29760</v>
      </c>
      <c r="M44" s="4">
        <v>19840</v>
      </c>
      <c r="N44" s="5">
        <v>0.4</v>
      </c>
    </row>
    <row r="45" spans="1:14" x14ac:dyDescent="0.25">
      <c r="A45" t="s">
        <v>86</v>
      </c>
      <c r="B45" s="6">
        <v>45332</v>
      </c>
      <c r="C45" t="s">
        <v>73</v>
      </c>
      <c r="D45" t="s">
        <v>16</v>
      </c>
      <c r="E45" t="s">
        <v>27</v>
      </c>
      <c r="F45" t="s">
        <v>18</v>
      </c>
      <c r="G45" t="s">
        <v>24</v>
      </c>
      <c r="H45" t="s">
        <v>25</v>
      </c>
      <c r="I45">
        <v>7</v>
      </c>
      <c r="J45" s="7">
        <v>13700</v>
      </c>
      <c r="K45" s="7">
        <v>95900</v>
      </c>
      <c r="L45" s="7">
        <v>55622</v>
      </c>
      <c r="M45" s="7">
        <v>40278</v>
      </c>
      <c r="N45" s="8">
        <v>0.42</v>
      </c>
    </row>
    <row r="46" spans="1:14" x14ac:dyDescent="0.25">
      <c r="A46" s="2" t="s">
        <v>87</v>
      </c>
      <c r="B46" s="3">
        <v>45333</v>
      </c>
      <c r="C46" s="2" t="s">
        <v>73</v>
      </c>
      <c r="D46" s="2" t="s">
        <v>16</v>
      </c>
      <c r="E46" s="2" t="s">
        <v>37</v>
      </c>
      <c r="F46" s="2" t="s">
        <v>42</v>
      </c>
      <c r="G46" s="2" t="s">
        <v>63</v>
      </c>
      <c r="H46" s="2" t="s">
        <v>46</v>
      </c>
      <c r="I46" s="2">
        <v>7</v>
      </c>
      <c r="J46" s="4">
        <v>7500</v>
      </c>
      <c r="K46" s="4">
        <v>52500</v>
      </c>
      <c r="L46" s="4">
        <v>32550</v>
      </c>
      <c r="M46" s="4">
        <v>19950</v>
      </c>
      <c r="N46" s="5">
        <v>0.38</v>
      </c>
    </row>
    <row r="47" spans="1:14" x14ac:dyDescent="0.25">
      <c r="A47" t="s">
        <v>88</v>
      </c>
      <c r="B47" s="6">
        <v>45333</v>
      </c>
      <c r="C47" t="s">
        <v>73</v>
      </c>
      <c r="D47" t="s">
        <v>16</v>
      </c>
      <c r="E47" t="s">
        <v>22</v>
      </c>
      <c r="F47" t="s">
        <v>23</v>
      </c>
      <c r="G47" t="s">
        <v>19</v>
      </c>
      <c r="H47" t="s">
        <v>20</v>
      </c>
      <c r="I47">
        <v>7</v>
      </c>
      <c r="J47" s="7">
        <v>5100</v>
      </c>
      <c r="K47" s="7">
        <v>35700</v>
      </c>
      <c r="L47" s="7">
        <v>19635</v>
      </c>
      <c r="M47" s="7">
        <v>16065</v>
      </c>
      <c r="N47" s="8">
        <v>0.45</v>
      </c>
    </row>
    <row r="48" spans="1:14" x14ac:dyDescent="0.25">
      <c r="A48" s="2" t="s">
        <v>89</v>
      </c>
      <c r="B48" s="3">
        <v>45333</v>
      </c>
      <c r="C48" s="2" t="s">
        <v>73</v>
      </c>
      <c r="D48" s="2" t="s">
        <v>16</v>
      </c>
      <c r="E48" s="2" t="s">
        <v>37</v>
      </c>
      <c r="F48" s="2" t="s">
        <v>33</v>
      </c>
      <c r="G48" s="2" t="s">
        <v>63</v>
      </c>
      <c r="H48" s="2" t="s">
        <v>46</v>
      </c>
      <c r="I48" s="2">
        <v>5</v>
      </c>
      <c r="J48" s="4">
        <v>9000</v>
      </c>
      <c r="K48" s="4">
        <v>45000</v>
      </c>
      <c r="L48" s="4">
        <v>27900</v>
      </c>
      <c r="M48" s="4">
        <v>17100</v>
      </c>
      <c r="N48" s="5">
        <v>0.38</v>
      </c>
    </row>
    <row r="49" spans="1:14" x14ac:dyDescent="0.25">
      <c r="A49" t="s">
        <v>90</v>
      </c>
      <c r="B49" s="6">
        <v>45333</v>
      </c>
      <c r="C49" t="s">
        <v>73</v>
      </c>
      <c r="D49" t="s">
        <v>16</v>
      </c>
      <c r="E49" t="s">
        <v>22</v>
      </c>
      <c r="F49" t="s">
        <v>23</v>
      </c>
      <c r="G49" t="s">
        <v>50</v>
      </c>
      <c r="H49" t="s">
        <v>46</v>
      </c>
      <c r="I49">
        <v>7</v>
      </c>
      <c r="J49" s="7">
        <v>23100</v>
      </c>
      <c r="K49" s="7">
        <v>161700</v>
      </c>
      <c r="L49" s="7">
        <v>105105</v>
      </c>
      <c r="M49" s="7">
        <v>56595</v>
      </c>
      <c r="N49" s="8">
        <v>0.35</v>
      </c>
    </row>
    <row r="50" spans="1:14" x14ac:dyDescent="0.25">
      <c r="A50" s="2" t="s">
        <v>91</v>
      </c>
      <c r="B50" s="3">
        <v>45334</v>
      </c>
      <c r="C50" s="2" t="s">
        <v>73</v>
      </c>
      <c r="D50" s="2" t="s">
        <v>16</v>
      </c>
      <c r="E50" s="2" t="s">
        <v>27</v>
      </c>
      <c r="F50" s="2" t="s">
        <v>59</v>
      </c>
      <c r="G50" s="2" t="s">
        <v>63</v>
      </c>
      <c r="H50" s="2" t="s">
        <v>46</v>
      </c>
      <c r="I50" s="2">
        <v>9</v>
      </c>
      <c r="J50" s="4">
        <v>7700</v>
      </c>
      <c r="K50" s="4">
        <v>69300</v>
      </c>
      <c r="L50" s="4">
        <v>42966</v>
      </c>
      <c r="M50" s="4">
        <v>26334</v>
      </c>
      <c r="N50" s="5">
        <v>0.38</v>
      </c>
    </row>
    <row r="51" spans="1:14" x14ac:dyDescent="0.25">
      <c r="A51" t="s">
        <v>92</v>
      </c>
      <c r="B51" s="6">
        <v>45336</v>
      </c>
      <c r="C51" t="s">
        <v>73</v>
      </c>
      <c r="D51" t="s">
        <v>16</v>
      </c>
      <c r="E51" t="s">
        <v>17</v>
      </c>
      <c r="F51" t="s">
        <v>59</v>
      </c>
      <c r="G51" t="s">
        <v>38</v>
      </c>
      <c r="H51" t="s">
        <v>39</v>
      </c>
      <c r="I51">
        <v>8</v>
      </c>
      <c r="J51" s="7">
        <v>11700</v>
      </c>
      <c r="K51" s="7">
        <v>93600</v>
      </c>
      <c r="L51" s="7">
        <v>56160</v>
      </c>
      <c r="M51" s="7">
        <v>37440</v>
      </c>
      <c r="N51" s="8">
        <v>0.4</v>
      </c>
    </row>
    <row r="52" spans="1:14" x14ac:dyDescent="0.25">
      <c r="A52" s="2" t="s">
        <v>93</v>
      </c>
      <c r="B52" s="3">
        <v>45338</v>
      </c>
      <c r="C52" s="2" t="s">
        <v>73</v>
      </c>
      <c r="D52" s="2" t="s">
        <v>16</v>
      </c>
      <c r="E52" s="2" t="s">
        <v>22</v>
      </c>
      <c r="F52" s="2" t="s">
        <v>42</v>
      </c>
      <c r="G52" s="2" t="s">
        <v>34</v>
      </c>
      <c r="H52" s="2" t="s">
        <v>35</v>
      </c>
      <c r="I52" s="2">
        <v>2</v>
      </c>
      <c r="J52" s="4">
        <v>4000</v>
      </c>
      <c r="K52" s="4">
        <v>8000</v>
      </c>
      <c r="L52" s="4">
        <v>3840</v>
      </c>
      <c r="M52" s="4">
        <v>4160</v>
      </c>
      <c r="N52" s="5">
        <v>0.52</v>
      </c>
    </row>
    <row r="53" spans="1:14" x14ac:dyDescent="0.25">
      <c r="A53" t="s">
        <v>94</v>
      </c>
      <c r="B53" s="6">
        <v>45338</v>
      </c>
      <c r="C53" t="s">
        <v>73</v>
      </c>
      <c r="D53" t="s">
        <v>16</v>
      </c>
      <c r="E53" t="s">
        <v>32</v>
      </c>
      <c r="F53" t="s">
        <v>18</v>
      </c>
      <c r="G53" t="s">
        <v>29</v>
      </c>
      <c r="H53" t="s">
        <v>30</v>
      </c>
      <c r="I53">
        <v>10</v>
      </c>
      <c r="J53" s="7">
        <v>2700</v>
      </c>
      <c r="K53" s="7">
        <v>27000</v>
      </c>
      <c r="L53" s="7">
        <v>12150</v>
      </c>
      <c r="M53" s="7">
        <v>14850</v>
      </c>
      <c r="N53" s="8">
        <v>0.55000000000000004</v>
      </c>
    </row>
    <row r="54" spans="1:14" x14ac:dyDescent="0.25">
      <c r="A54" s="2" t="s">
        <v>95</v>
      </c>
      <c r="B54" s="3">
        <v>45338</v>
      </c>
      <c r="C54" s="2" t="s">
        <v>73</v>
      </c>
      <c r="D54" s="2" t="s">
        <v>16</v>
      </c>
      <c r="E54" s="2" t="s">
        <v>37</v>
      </c>
      <c r="F54" s="2" t="s">
        <v>18</v>
      </c>
      <c r="G54" s="2" t="s">
        <v>34</v>
      </c>
      <c r="H54" s="2" t="s">
        <v>35</v>
      </c>
      <c r="I54" s="2">
        <v>9</v>
      </c>
      <c r="J54" s="4">
        <v>3600</v>
      </c>
      <c r="K54" s="4">
        <v>32400</v>
      </c>
      <c r="L54" s="4">
        <v>15552</v>
      </c>
      <c r="M54" s="4">
        <v>16848</v>
      </c>
      <c r="N54" s="5">
        <v>0.52</v>
      </c>
    </row>
    <row r="55" spans="1:14" x14ac:dyDescent="0.25">
      <c r="A55" t="s">
        <v>96</v>
      </c>
      <c r="B55" s="6">
        <v>45338</v>
      </c>
      <c r="C55" t="s">
        <v>73</v>
      </c>
      <c r="D55" t="s">
        <v>16</v>
      </c>
      <c r="E55" t="s">
        <v>32</v>
      </c>
      <c r="F55" t="s">
        <v>59</v>
      </c>
      <c r="G55" t="s">
        <v>29</v>
      </c>
      <c r="H55" t="s">
        <v>30</v>
      </c>
      <c r="I55">
        <v>6</v>
      </c>
      <c r="J55" s="7">
        <v>2800</v>
      </c>
      <c r="K55" s="7">
        <v>16800</v>
      </c>
      <c r="L55" s="7">
        <v>7560</v>
      </c>
      <c r="M55" s="7">
        <v>9240</v>
      </c>
      <c r="N55" s="8">
        <v>0.55000000000000004</v>
      </c>
    </row>
    <row r="56" spans="1:14" x14ac:dyDescent="0.25">
      <c r="A56" s="2" t="s">
        <v>97</v>
      </c>
      <c r="B56" s="3">
        <v>45338</v>
      </c>
      <c r="C56" s="2" t="s">
        <v>73</v>
      </c>
      <c r="D56" s="2" t="s">
        <v>16</v>
      </c>
      <c r="E56" s="2" t="s">
        <v>54</v>
      </c>
      <c r="F56" s="2" t="s">
        <v>28</v>
      </c>
      <c r="G56" s="2" t="s">
        <v>50</v>
      </c>
      <c r="H56" s="2" t="s">
        <v>46</v>
      </c>
      <c r="I56" s="2">
        <v>8</v>
      </c>
      <c r="J56" s="4">
        <v>28400</v>
      </c>
      <c r="K56" s="4">
        <v>227200</v>
      </c>
      <c r="L56" s="4">
        <v>147680</v>
      </c>
      <c r="M56" s="4">
        <v>79520</v>
      </c>
      <c r="N56" s="5">
        <v>0.35</v>
      </c>
    </row>
    <row r="57" spans="1:14" x14ac:dyDescent="0.25">
      <c r="A57" t="s">
        <v>98</v>
      </c>
      <c r="B57" s="6">
        <v>45339</v>
      </c>
      <c r="C57" t="s">
        <v>73</v>
      </c>
      <c r="D57" t="s">
        <v>16</v>
      </c>
      <c r="E57" t="s">
        <v>17</v>
      </c>
      <c r="F57" t="s">
        <v>28</v>
      </c>
      <c r="G57" t="s">
        <v>34</v>
      </c>
      <c r="H57" t="s">
        <v>35</v>
      </c>
      <c r="I57">
        <v>6</v>
      </c>
      <c r="J57" s="7">
        <v>3200</v>
      </c>
      <c r="K57" s="7">
        <v>19200</v>
      </c>
      <c r="L57" s="7">
        <v>9216</v>
      </c>
      <c r="M57" s="7">
        <v>9984</v>
      </c>
      <c r="N57" s="8">
        <v>0.52</v>
      </c>
    </row>
    <row r="58" spans="1:14" x14ac:dyDescent="0.25">
      <c r="A58" s="2" t="s">
        <v>99</v>
      </c>
      <c r="B58" s="3">
        <v>45339</v>
      </c>
      <c r="C58" s="2" t="s">
        <v>73</v>
      </c>
      <c r="D58" s="2" t="s">
        <v>16</v>
      </c>
      <c r="E58" s="2" t="s">
        <v>54</v>
      </c>
      <c r="F58" s="2" t="s">
        <v>59</v>
      </c>
      <c r="G58" s="2" t="s">
        <v>24</v>
      </c>
      <c r="H58" s="2" t="s">
        <v>25</v>
      </c>
      <c r="I58" s="2">
        <v>1</v>
      </c>
      <c r="J58" s="4">
        <v>16700</v>
      </c>
      <c r="K58" s="4">
        <v>16700</v>
      </c>
      <c r="L58" s="4">
        <v>9686</v>
      </c>
      <c r="M58" s="4">
        <v>7014</v>
      </c>
      <c r="N58" s="5">
        <v>0.42</v>
      </c>
    </row>
    <row r="59" spans="1:14" x14ac:dyDescent="0.25">
      <c r="A59" t="s">
        <v>100</v>
      </c>
      <c r="B59" s="6">
        <v>45340</v>
      </c>
      <c r="C59" t="s">
        <v>73</v>
      </c>
      <c r="D59" t="s">
        <v>16</v>
      </c>
      <c r="E59" t="s">
        <v>22</v>
      </c>
      <c r="F59" t="s">
        <v>59</v>
      </c>
      <c r="G59" t="s">
        <v>38</v>
      </c>
      <c r="H59" t="s">
        <v>39</v>
      </c>
      <c r="I59">
        <v>6</v>
      </c>
      <c r="J59" s="7">
        <v>12800</v>
      </c>
      <c r="K59" s="7">
        <v>76800</v>
      </c>
      <c r="L59" s="7">
        <v>46080</v>
      </c>
      <c r="M59" s="7">
        <v>30720</v>
      </c>
      <c r="N59" s="8">
        <v>0.4</v>
      </c>
    </row>
    <row r="60" spans="1:14" x14ac:dyDescent="0.25">
      <c r="A60" s="2" t="s">
        <v>101</v>
      </c>
      <c r="B60" s="3">
        <v>45340</v>
      </c>
      <c r="C60" s="2" t="s">
        <v>73</v>
      </c>
      <c r="D60" s="2" t="s">
        <v>16</v>
      </c>
      <c r="E60" s="2" t="s">
        <v>27</v>
      </c>
      <c r="F60" s="2" t="s">
        <v>28</v>
      </c>
      <c r="G60" s="2" t="s">
        <v>34</v>
      </c>
      <c r="H60" s="2" t="s">
        <v>35</v>
      </c>
      <c r="I60" s="2">
        <v>10</v>
      </c>
      <c r="J60" s="4">
        <v>3400</v>
      </c>
      <c r="K60" s="4">
        <v>34000</v>
      </c>
      <c r="L60" s="4">
        <v>16320</v>
      </c>
      <c r="M60" s="4">
        <v>17680</v>
      </c>
      <c r="N60" s="5">
        <v>0.52</v>
      </c>
    </row>
    <row r="61" spans="1:14" x14ac:dyDescent="0.25">
      <c r="A61" t="s">
        <v>102</v>
      </c>
      <c r="B61" s="6">
        <v>45341</v>
      </c>
      <c r="C61" t="s">
        <v>73</v>
      </c>
      <c r="D61" t="s">
        <v>16</v>
      </c>
      <c r="E61" t="s">
        <v>17</v>
      </c>
      <c r="F61" t="s">
        <v>28</v>
      </c>
      <c r="G61" t="s">
        <v>63</v>
      </c>
      <c r="H61" t="s">
        <v>46</v>
      </c>
      <c r="I61">
        <v>10</v>
      </c>
      <c r="J61" s="7">
        <v>7700</v>
      </c>
      <c r="K61" s="7">
        <v>77000</v>
      </c>
      <c r="L61" s="7">
        <v>47740</v>
      </c>
      <c r="M61" s="7">
        <v>29260</v>
      </c>
      <c r="N61" s="8">
        <v>0.38</v>
      </c>
    </row>
    <row r="62" spans="1:14" x14ac:dyDescent="0.25">
      <c r="A62" s="2" t="s">
        <v>103</v>
      </c>
      <c r="B62" s="3">
        <v>45342</v>
      </c>
      <c r="C62" s="2" t="s">
        <v>73</v>
      </c>
      <c r="D62" s="2" t="s">
        <v>16</v>
      </c>
      <c r="E62" s="2" t="s">
        <v>37</v>
      </c>
      <c r="F62" s="2" t="s">
        <v>18</v>
      </c>
      <c r="G62" s="2" t="s">
        <v>29</v>
      </c>
      <c r="H62" s="2" t="s">
        <v>30</v>
      </c>
      <c r="I62" s="2">
        <v>5</v>
      </c>
      <c r="J62" s="4">
        <v>2600</v>
      </c>
      <c r="K62" s="4">
        <v>13000</v>
      </c>
      <c r="L62" s="4">
        <v>5850</v>
      </c>
      <c r="M62" s="4">
        <v>7150</v>
      </c>
      <c r="N62" s="5">
        <v>0.55000000000000004</v>
      </c>
    </row>
    <row r="63" spans="1:14" x14ac:dyDescent="0.25">
      <c r="A63" t="s">
        <v>104</v>
      </c>
      <c r="B63" s="6">
        <v>45343</v>
      </c>
      <c r="C63" t="s">
        <v>73</v>
      </c>
      <c r="D63" t="s">
        <v>16</v>
      </c>
      <c r="E63" t="s">
        <v>27</v>
      </c>
      <c r="F63" t="s">
        <v>59</v>
      </c>
      <c r="G63" t="s">
        <v>63</v>
      </c>
      <c r="H63" t="s">
        <v>46</v>
      </c>
      <c r="I63">
        <v>9</v>
      </c>
      <c r="J63" s="7">
        <v>7200</v>
      </c>
      <c r="K63" s="7">
        <v>64800</v>
      </c>
      <c r="L63" s="7">
        <v>40176</v>
      </c>
      <c r="M63" s="7">
        <v>24624</v>
      </c>
      <c r="N63" s="8">
        <v>0.38</v>
      </c>
    </row>
    <row r="64" spans="1:14" x14ac:dyDescent="0.25">
      <c r="A64" s="2" t="s">
        <v>105</v>
      </c>
      <c r="B64" s="3">
        <v>45344</v>
      </c>
      <c r="C64" s="2" t="s">
        <v>73</v>
      </c>
      <c r="D64" s="2" t="s">
        <v>16</v>
      </c>
      <c r="E64" s="2" t="s">
        <v>22</v>
      </c>
      <c r="F64" s="2" t="s">
        <v>59</v>
      </c>
      <c r="G64" s="2" t="s">
        <v>50</v>
      </c>
      <c r="H64" s="2" t="s">
        <v>46</v>
      </c>
      <c r="I64" s="2">
        <v>8</v>
      </c>
      <c r="J64" s="4">
        <v>26100</v>
      </c>
      <c r="K64" s="4">
        <v>208800</v>
      </c>
      <c r="L64" s="4">
        <v>135720</v>
      </c>
      <c r="M64" s="4">
        <v>73080</v>
      </c>
      <c r="N64" s="5">
        <v>0.35</v>
      </c>
    </row>
    <row r="65" spans="1:14" x14ac:dyDescent="0.25">
      <c r="A65" t="s">
        <v>106</v>
      </c>
      <c r="B65" s="6">
        <v>45344</v>
      </c>
      <c r="C65" t="s">
        <v>73</v>
      </c>
      <c r="D65" t="s">
        <v>16</v>
      </c>
      <c r="E65" t="s">
        <v>22</v>
      </c>
      <c r="F65" t="s">
        <v>23</v>
      </c>
      <c r="G65" t="s">
        <v>63</v>
      </c>
      <c r="H65" t="s">
        <v>46</v>
      </c>
      <c r="I65">
        <v>7</v>
      </c>
      <c r="J65" s="7">
        <v>7400</v>
      </c>
      <c r="K65" s="7">
        <v>51800</v>
      </c>
      <c r="L65" s="7">
        <v>32116</v>
      </c>
      <c r="M65" s="7">
        <v>19684</v>
      </c>
      <c r="N65" s="8">
        <v>0.38</v>
      </c>
    </row>
    <row r="66" spans="1:14" x14ac:dyDescent="0.25">
      <c r="A66" s="2" t="s">
        <v>107</v>
      </c>
      <c r="B66" s="3">
        <v>45345</v>
      </c>
      <c r="C66" s="2" t="s">
        <v>73</v>
      </c>
      <c r="D66" s="2" t="s">
        <v>16</v>
      </c>
      <c r="E66" s="2" t="s">
        <v>37</v>
      </c>
      <c r="F66" s="2" t="s">
        <v>23</v>
      </c>
      <c r="G66" s="2" t="s">
        <v>63</v>
      </c>
      <c r="H66" s="2" t="s">
        <v>46</v>
      </c>
      <c r="I66" s="2">
        <v>2</v>
      </c>
      <c r="J66" s="4">
        <v>7700</v>
      </c>
      <c r="K66" s="4">
        <v>15400</v>
      </c>
      <c r="L66" s="4">
        <v>9548</v>
      </c>
      <c r="M66" s="4">
        <v>5852</v>
      </c>
      <c r="N66" s="5">
        <v>0.38</v>
      </c>
    </row>
    <row r="67" spans="1:14" x14ac:dyDescent="0.25">
      <c r="A67" t="s">
        <v>108</v>
      </c>
      <c r="B67" s="6">
        <v>45346</v>
      </c>
      <c r="C67" t="s">
        <v>73</v>
      </c>
      <c r="D67" t="s">
        <v>16</v>
      </c>
      <c r="E67" t="s">
        <v>17</v>
      </c>
      <c r="F67" t="s">
        <v>18</v>
      </c>
      <c r="G67" t="s">
        <v>29</v>
      </c>
      <c r="H67" t="s">
        <v>30</v>
      </c>
      <c r="I67">
        <v>7</v>
      </c>
      <c r="J67" s="7">
        <v>2500</v>
      </c>
      <c r="K67" s="7">
        <v>17500</v>
      </c>
      <c r="L67" s="7">
        <v>7875</v>
      </c>
      <c r="M67" s="7">
        <v>9625</v>
      </c>
      <c r="N67" s="8">
        <v>0.55000000000000004</v>
      </c>
    </row>
    <row r="68" spans="1:14" x14ac:dyDescent="0.25">
      <c r="A68" s="2" t="s">
        <v>109</v>
      </c>
      <c r="B68" s="3">
        <v>45346</v>
      </c>
      <c r="C68" s="2" t="s">
        <v>73</v>
      </c>
      <c r="D68" s="2" t="s">
        <v>16</v>
      </c>
      <c r="E68" s="2" t="s">
        <v>54</v>
      </c>
      <c r="F68" s="2" t="s">
        <v>59</v>
      </c>
      <c r="G68" s="2" t="s">
        <v>24</v>
      </c>
      <c r="H68" s="2" t="s">
        <v>25</v>
      </c>
      <c r="I68" s="2">
        <v>2</v>
      </c>
      <c r="J68" s="4">
        <v>14400</v>
      </c>
      <c r="K68" s="4">
        <v>28800</v>
      </c>
      <c r="L68" s="4">
        <v>16704</v>
      </c>
      <c r="M68" s="4">
        <v>12096</v>
      </c>
      <c r="N68" s="5">
        <v>0.42</v>
      </c>
    </row>
    <row r="69" spans="1:14" x14ac:dyDescent="0.25">
      <c r="A69" t="s">
        <v>110</v>
      </c>
      <c r="B69" s="6">
        <v>45347</v>
      </c>
      <c r="C69" t="s">
        <v>73</v>
      </c>
      <c r="D69" t="s">
        <v>16</v>
      </c>
      <c r="E69" t="s">
        <v>32</v>
      </c>
      <c r="F69" t="s">
        <v>33</v>
      </c>
      <c r="G69" t="s">
        <v>45</v>
      </c>
      <c r="H69" t="s">
        <v>46</v>
      </c>
      <c r="I69">
        <v>10</v>
      </c>
      <c r="J69" s="7">
        <v>9200</v>
      </c>
      <c r="K69" s="7">
        <v>92000</v>
      </c>
      <c r="L69" s="7">
        <v>55200</v>
      </c>
      <c r="M69" s="7">
        <v>36800</v>
      </c>
      <c r="N69" s="8">
        <v>0.4</v>
      </c>
    </row>
    <row r="70" spans="1:14" x14ac:dyDescent="0.25">
      <c r="A70" s="2" t="s">
        <v>111</v>
      </c>
      <c r="B70" s="3">
        <v>45348</v>
      </c>
      <c r="C70" s="2" t="s">
        <v>73</v>
      </c>
      <c r="D70" s="2" t="s">
        <v>16</v>
      </c>
      <c r="E70" s="2" t="s">
        <v>37</v>
      </c>
      <c r="F70" s="2" t="s">
        <v>23</v>
      </c>
      <c r="G70" s="2" t="s">
        <v>45</v>
      </c>
      <c r="H70" s="2" t="s">
        <v>46</v>
      </c>
      <c r="I70" s="2">
        <v>1</v>
      </c>
      <c r="J70" s="4">
        <v>9400</v>
      </c>
      <c r="K70" s="4">
        <v>9400</v>
      </c>
      <c r="L70" s="4">
        <v>5640</v>
      </c>
      <c r="M70" s="4">
        <v>3760</v>
      </c>
      <c r="N70" s="5">
        <v>0.4</v>
      </c>
    </row>
    <row r="71" spans="1:14" x14ac:dyDescent="0.25">
      <c r="A71" t="s">
        <v>112</v>
      </c>
      <c r="B71" s="6">
        <v>45350</v>
      </c>
      <c r="C71" t="s">
        <v>73</v>
      </c>
      <c r="D71" t="s">
        <v>16</v>
      </c>
      <c r="E71" t="s">
        <v>17</v>
      </c>
      <c r="F71" t="s">
        <v>18</v>
      </c>
      <c r="G71" t="s">
        <v>63</v>
      </c>
      <c r="H71" t="s">
        <v>46</v>
      </c>
      <c r="I71">
        <v>2</v>
      </c>
      <c r="J71" s="7">
        <v>9100</v>
      </c>
      <c r="K71" s="7">
        <v>18200</v>
      </c>
      <c r="L71" s="7">
        <v>11284</v>
      </c>
      <c r="M71" s="7">
        <v>6916</v>
      </c>
      <c r="N71" s="8">
        <v>0.38</v>
      </c>
    </row>
    <row r="72" spans="1:14" x14ac:dyDescent="0.25">
      <c r="A72" s="2" t="s">
        <v>113</v>
      </c>
      <c r="B72" s="3">
        <v>45350</v>
      </c>
      <c r="C72" s="2" t="s">
        <v>73</v>
      </c>
      <c r="D72" s="2" t="s">
        <v>16</v>
      </c>
      <c r="E72" s="2" t="s">
        <v>17</v>
      </c>
      <c r="F72" s="2" t="s">
        <v>42</v>
      </c>
      <c r="G72" s="2" t="s">
        <v>24</v>
      </c>
      <c r="H72" s="2" t="s">
        <v>25</v>
      </c>
      <c r="I72" s="2">
        <v>8</v>
      </c>
      <c r="J72" s="4">
        <v>14800</v>
      </c>
      <c r="K72" s="4">
        <v>118400</v>
      </c>
      <c r="L72" s="4">
        <v>68672</v>
      </c>
      <c r="M72" s="4">
        <v>49728</v>
      </c>
      <c r="N72" s="5">
        <v>0.42</v>
      </c>
    </row>
    <row r="73" spans="1:14" x14ac:dyDescent="0.25">
      <c r="A73" t="s">
        <v>114</v>
      </c>
      <c r="B73" s="6">
        <v>45351</v>
      </c>
      <c r="C73" t="s">
        <v>73</v>
      </c>
      <c r="D73" t="s">
        <v>16</v>
      </c>
      <c r="E73" t="s">
        <v>32</v>
      </c>
      <c r="F73" t="s">
        <v>18</v>
      </c>
      <c r="G73" t="s">
        <v>19</v>
      </c>
      <c r="H73" t="s">
        <v>20</v>
      </c>
      <c r="I73">
        <v>5</v>
      </c>
      <c r="J73" s="7">
        <v>4700</v>
      </c>
      <c r="K73" s="7">
        <v>23500</v>
      </c>
      <c r="L73" s="7">
        <v>12925</v>
      </c>
      <c r="M73" s="7">
        <v>10575</v>
      </c>
      <c r="N73" s="8">
        <v>0.45</v>
      </c>
    </row>
    <row r="74" spans="1:14" x14ac:dyDescent="0.25">
      <c r="A74" s="2" t="s">
        <v>115</v>
      </c>
      <c r="B74" s="3">
        <v>45352</v>
      </c>
      <c r="C74" s="2" t="s">
        <v>116</v>
      </c>
      <c r="D74" s="2" t="s">
        <v>16</v>
      </c>
      <c r="E74" s="2" t="s">
        <v>54</v>
      </c>
      <c r="F74" s="2" t="s">
        <v>28</v>
      </c>
      <c r="G74" s="2" t="s">
        <v>63</v>
      </c>
      <c r="H74" s="2" t="s">
        <v>46</v>
      </c>
      <c r="I74" s="2">
        <v>7</v>
      </c>
      <c r="J74" s="4">
        <v>9200</v>
      </c>
      <c r="K74" s="4">
        <v>64400</v>
      </c>
      <c r="L74" s="4">
        <v>39928</v>
      </c>
      <c r="M74" s="4">
        <v>24472</v>
      </c>
      <c r="N74" s="5">
        <v>0.38</v>
      </c>
    </row>
    <row r="75" spans="1:14" x14ac:dyDescent="0.25">
      <c r="A75" t="s">
        <v>117</v>
      </c>
      <c r="B75" s="6">
        <v>45353</v>
      </c>
      <c r="C75" t="s">
        <v>116</v>
      </c>
      <c r="D75" t="s">
        <v>16</v>
      </c>
      <c r="E75" t="s">
        <v>37</v>
      </c>
      <c r="F75" t="s">
        <v>28</v>
      </c>
      <c r="G75" t="s">
        <v>50</v>
      </c>
      <c r="H75" t="s">
        <v>46</v>
      </c>
      <c r="I75">
        <v>7</v>
      </c>
      <c r="J75" s="7">
        <v>24700</v>
      </c>
      <c r="K75" s="7">
        <v>172900</v>
      </c>
      <c r="L75" s="7">
        <v>112385</v>
      </c>
      <c r="M75" s="7">
        <v>60515</v>
      </c>
      <c r="N75" s="8">
        <v>0.35</v>
      </c>
    </row>
    <row r="76" spans="1:14" x14ac:dyDescent="0.25">
      <c r="A76" s="2" t="s">
        <v>118</v>
      </c>
      <c r="B76" s="3">
        <v>45354</v>
      </c>
      <c r="C76" s="2" t="s">
        <v>116</v>
      </c>
      <c r="D76" s="2" t="s">
        <v>16</v>
      </c>
      <c r="E76" s="2" t="s">
        <v>22</v>
      </c>
      <c r="F76" s="2" t="s">
        <v>18</v>
      </c>
      <c r="G76" s="2" t="s">
        <v>50</v>
      </c>
      <c r="H76" s="2" t="s">
        <v>46</v>
      </c>
      <c r="I76" s="2">
        <v>10</v>
      </c>
      <c r="J76" s="4">
        <v>24000</v>
      </c>
      <c r="K76" s="4">
        <v>240000</v>
      </c>
      <c r="L76" s="4">
        <v>156000</v>
      </c>
      <c r="M76" s="4">
        <v>84000</v>
      </c>
      <c r="N76" s="5">
        <v>0.35</v>
      </c>
    </row>
    <row r="77" spans="1:14" x14ac:dyDescent="0.25">
      <c r="A77" t="s">
        <v>119</v>
      </c>
      <c r="B77" s="6">
        <v>45357</v>
      </c>
      <c r="C77" t="s">
        <v>116</v>
      </c>
      <c r="D77" t="s">
        <v>16</v>
      </c>
      <c r="E77" t="s">
        <v>54</v>
      </c>
      <c r="F77" t="s">
        <v>59</v>
      </c>
      <c r="G77" t="s">
        <v>29</v>
      </c>
      <c r="H77" t="s">
        <v>30</v>
      </c>
      <c r="I77">
        <v>1</v>
      </c>
      <c r="J77" s="7">
        <v>2800</v>
      </c>
      <c r="K77" s="7">
        <v>2800</v>
      </c>
      <c r="L77" s="7">
        <v>1260</v>
      </c>
      <c r="M77" s="7">
        <v>1540</v>
      </c>
      <c r="N77" s="8">
        <v>0.55000000000000004</v>
      </c>
    </row>
    <row r="78" spans="1:14" x14ac:dyDescent="0.25">
      <c r="A78" s="2" t="s">
        <v>120</v>
      </c>
      <c r="B78" s="3">
        <v>45358</v>
      </c>
      <c r="C78" s="2" t="s">
        <v>116</v>
      </c>
      <c r="D78" s="2" t="s">
        <v>16</v>
      </c>
      <c r="E78" s="2" t="s">
        <v>17</v>
      </c>
      <c r="F78" s="2" t="s">
        <v>33</v>
      </c>
      <c r="G78" s="2" t="s">
        <v>19</v>
      </c>
      <c r="H78" s="2" t="s">
        <v>20</v>
      </c>
      <c r="I78" s="2">
        <v>8</v>
      </c>
      <c r="J78" s="4">
        <v>4700</v>
      </c>
      <c r="K78" s="4">
        <v>37600</v>
      </c>
      <c r="L78" s="4">
        <v>20680</v>
      </c>
      <c r="M78" s="4">
        <v>16920</v>
      </c>
      <c r="N78" s="5">
        <v>0.45</v>
      </c>
    </row>
    <row r="79" spans="1:14" x14ac:dyDescent="0.25">
      <c r="A79" t="s">
        <v>121</v>
      </c>
      <c r="B79" s="6">
        <v>45359</v>
      </c>
      <c r="C79" t="s">
        <v>116</v>
      </c>
      <c r="D79" t="s">
        <v>16</v>
      </c>
      <c r="E79" t="s">
        <v>22</v>
      </c>
      <c r="F79" t="s">
        <v>42</v>
      </c>
      <c r="G79" t="s">
        <v>45</v>
      </c>
      <c r="H79" t="s">
        <v>46</v>
      </c>
      <c r="I79">
        <v>8</v>
      </c>
      <c r="J79" s="7">
        <v>8600</v>
      </c>
      <c r="K79" s="7">
        <v>68800</v>
      </c>
      <c r="L79" s="7">
        <v>41280</v>
      </c>
      <c r="M79" s="7">
        <v>27520</v>
      </c>
      <c r="N79" s="8">
        <v>0.4</v>
      </c>
    </row>
    <row r="80" spans="1:14" x14ac:dyDescent="0.25">
      <c r="A80" s="2" t="s">
        <v>122</v>
      </c>
      <c r="B80" s="3">
        <v>45359</v>
      </c>
      <c r="C80" s="2" t="s">
        <v>116</v>
      </c>
      <c r="D80" s="2" t="s">
        <v>16</v>
      </c>
      <c r="E80" s="2" t="s">
        <v>54</v>
      </c>
      <c r="F80" s="2" t="s">
        <v>28</v>
      </c>
      <c r="G80" s="2" t="s">
        <v>24</v>
      </c>
      <c r="H80" s="2" t="s">
        <v>25</v>
      </c>
      <c r="I80" s="2">
        <v>4</v>
      </c>
      <c r="J80" s="4">
        <v>16800</v>
      </c>
      <c r="K80" s="4">
        <v>67200</v>
      </c>
      <c r="L80" s="4">
        <v>38976</v>
      </c>
      <c r="M80" s="4">
        <v>28224</v>
      </c>
      <c r="N80" s="5">
        <v>0.42</v>
      </c>
    </row>
    <row r="81" spans="1:14" x14ac:dyDescent="0.25">
      <c r="A81" t="s">
        <v>123</v>
      </c>
      <c r="B81" s="6">
        <v>45359</v>
      </c>
      <c r="C81" t="s">
        <v>116</v>
      </c>
      <c r="D81" t="s">
        <v>16</v>
      </c>
      <c r="E81" t="s">
        <v>17</v>
      </c>
      <c r="F81" t="s">
        <v>59</v>
      </c>
      <c r="G81" t="s">
        <v>34</v>
      </c>
      <c r="H81" t="s">
        <v>35</v>
      </c>
      <c r="I81">
        <v>1</v>
      </c>
      <c r="J81" s="7">
        <v>3500</v>
      </c>
      <c r="K81" s="7">
        <v>3500</v>
      </c>
      <c r="L81" s="7">
        <v>1680</v>
      </c>
      <c r="M81" s="7">
        <v>1820</v>
      </c>
      <c r="N81" s="8">
        <v>0.52</v>
      </c>
    </row>
    <row r="82" spans="1:14" x14ac:dyDescent="0.25">
      <c r="A82" s="2" t="s">
        <v>124</v>
      </c>
      <c r="B82" s="3">
        <v>45360</v>
      </c>
      <c r="C82" s="2" t="s">
        <v>116</v>
      </c>
      <c r="D82" s="2" t="s">
        <v>16</v>
      </c>
      <c r="E82" s="2" t="s">
        <v>54</v>
      </c>
      <c r="F82" s="2" t="s">
        <v>42</v>
      </c>
      <c r="G82" s="2" t="s">
        <v>45</v>
      </c>
      <c r="H82" s="2" t="s">
        <v>46</v>
      </c>
      <c r="I82" s="2">
        <v>2</v>
      </c>
      <c r="J82" s="4">
        <v>8700</v>
      </c>
      <c r="K82" s="4">
        <v>17400</v>
      </c>
      <c r="L82" s="4">
        <v>10440</v>
      </c>
      <c r="M82" s="4">
        <v>6960</v>
      </c>
      <c r="N82" s="5">
        <v>0.4</v>
      </c>
    </row>
    <row r="83" spans="1:14" x14ac:dyDescent="0.25">
      <c r="A83" t="s">
        <v>125</v>
      </c>
      <c r="B83" s="6">
        <v>45360</v>
      </c>
      <c r="C83" t="s">
        <v>116</v>
      </c>
      <c r="D83" t="s">
        <v>16</v>
      </c>
      <c r="E83" t="s">
        <v>32</v>
      </c>
      <c r="F83" t="s">
        <v>42</v>
      </c>
      <c r="G83" t="s">
        <v>24</v>
      </c>
      <c r="H83" t="s">
        <v>25</v>
      </c>
      <c r="I83">
        <v>5</v>
      </c>
      <c r="J83" s="7">
        <v>13900</v>
      </c>
      <c r="K83" s="7">
        <v>69500</v>
      </c>
      <c r="L83" s="7">
        <v>40310</v>
      </c>
      <c r="M83" s="7">
        <v>29190</v>
      </c>
      <c r="N83" s="8">
        <v>0.42</v>
      </c>
    </row>
    <row r="84" spans="1:14" x14ac:dyDescent="0.25">
      <c r="A84" s="2" t="s">
        <v>126</v>
      </c>
      <c r="B84" s="3">
        <v>45361</v>
      </c>
      <c r="C84" s="2" t="s">
        <v>116</v>
      </c>
      <c r="D84" s="2" t="s">
        <v>16</v>
      </c>
      <c r="E84" s="2" t="s">
        <v>32</v>
      </c>
      <c r="F84" s="2" t="s">
        <v>28</v>
      </c>
      <c r="G84" s="2" t="s">
        <v>38</v>
      </c>
      <c r="H84" s="2" t="s">
        <v>39</v>
      </c>
      <c r="I84" s="2">
        <v>8</v>
      </c>
      <c r="J84" s="4">
        <v>12900</v>
      </c>
      <c r="K84" s="4">
        <v>103200</v>
      </c>
      <c r="L84" s="4">
        <v>61920</v>
      </c>
      <c r="M84" s="4">
        <v>41280</v>
      </c>
      <c r="N84" s="5">
        <v>0.4</v>
      </c>
    </row>
    <row r="85" spans="1:14" x14ac:dyDescent="0.25">
      <c r="A85" t="s">
        <v>127</v>
      </c>
      <c r="B85" s="6">
        <v>45361</v>
      </c>
      <c r="C85" t="s">
        <v>116</v>
      </c>
      <c r="D85" t="s">
        <v>16</v>
      </c>
      <c r="E85" t="s">
        <v>54</v>
      </c>
      <c r="F85" t="s">
        <v>23</v>
      </c>
      <c r="G85" t="s">
        <v>19</v>
      </c>
      <c r="H85" t="s">
        <v>20</v>
      </c>
      <c r="I85">
        <v>7</v>
      </c>
      <c r="J85" s="7">
        <v>4500</v>
      </c>
      <c r="K85" s="7">
        <v>31500</v>
      </c>
      <c r="L85" s="7">
        <v>17325</v>
      </c>
      <c r="M85" s="7">
        <v>14175</v>
      </c>
      <c r="N85" s="8">
        <v>0.45</v>
      </c>
    </row>
    <row r="86" spans="1:14" x14ac:dyDescent="0.25">
      <c r="A86" s="2" t="s">
        <v>128</v>
      </c>
      <c r="B86" s="3">
        <v>45361</v>
      </c>
      <c r="C86" s="2" t="s">
        <v>116</v>
      </c>
      <c r="D86" s="2" t="s">
        <v>16</v>
      </c>
      <c r="E86" s="2" t="s">
        <v>22</v>
      </c>
      <c r="F86" s="2" t="s">
        <v>28</v>
      </c>
      <c r="G86" s="2" t="s">
        <v>19</v>
      </c>
      <c r="H86" s="2" t="s">
        <v>20</v>
      </c>
      <c r="I86" s="2">
        <v>4</v>
      </c>
      <c r="J86" s="4">
        <v>4900</v>
      </c>
      <c r="K86" s="4">
        <v>19600</v>
      </c>
      <c r="L86" s="4">
        <v>10780</v>
      </c>
      <c r="M86" s="4">
        <v>8820</v>
      </c>
      <c r="N86" s="5">
        <v>0.45</v>
      </c>
    </row>
    <row r="87" spans="1:14" x14ac:dyDescent="0.25">
      <c r="A87" t="s">
        <v>129</v>
      </c>
      <c r="B87" s="6">
        <v>45362</v>
      </c>
      <c r="C87" t="s">
        <v>116</v>
      </c>
      <c r="D87" t="s">
        <v>16</v>
      </c>
      <c r="E87" t="s">
        <v>32</v>
      </c>
      <c r="F87" t="s">
        <v>42</v>
      </c>
      <c r="G87" t="s">
        <v>45</v>
      </c>
      <c r="H87" t="s">
        <v>46</v>
      </c>
      <c r="I87">
        <v>1</v>
      </c>
      <c r="J87" s="7">
        <v>8300</v>
      </c>
      <c r="K87" s="7">
        <v>8300</v>
      </c>
      <c r="L87" s="7">
        <v>4980</v>
      </c>
      <c r="M87" s="7">
        <v>3320</v>
      </c>
      <c r="N87" s="8">
        <v>0.4</v>
      </c>
    </row>
    <row r="88" spans="1:14" x14ac:dyDescent="0.25">
      <c r="A88" s="2" t="s">
        <v>130</v>
      </c>
      <c r="B88" s="3">
        <v>45362</v>
      </c>
      <c r="C88" s="2" t="s">
        <v>116</v>
      </c>
      <c r="D88" s="2" t="s">
        <v>16</v>
      </c>
      <c r="E88" s="2" t="s">
        <v>17</v>
      </c>
      <c r="F88" s="2" t="s">
        <v>23</v>
      </c>
      <c r="G88" s="2" t="s">
        <v>63</v>
      </c>
      <c r="H88" s="2" t="s">
        <v>46</v>
      </c>
      <c r="I88" s="2">
        <v>2</v>
      </c>
      <c r="J88" s="4">
        <v>7400</v>
      </c>
      <c r="K88" s="4">
        <v>14800</v>
      </c>
      <c r="L88" s="4">
        <v>9176</v>
      </c>
      <c r="M88" s="4">
        <v>5624</v>
      </c>
      <c r="N88" s="5">
        <v>0.38</v>
      </c>
    </row>
    <row r="89" spans="1:14" x14ac:dyDescent="0.25">
      <c r="A89" t="s">
        <v>131</v>
      </c>
      <c r="B89" s="6">
        <v>45363</v>
      </c>
      <c r="C89" t="s">
        <v>116</v>
      </c>
      <c r="D89" t="s">
        <v>16</v>
      </c>
      <c r="E89" t="s">
        <v>32</v>
      </c>
      <c r="F89" t="s">
        <v>23</v>
      </c>
      <c r="G89" t="s">
        <v>38</v>
      </c>
      <c r="H89" t="s">
        <v>39</v>
      </c>
      <c r="I89">
        <v>9</v>
      </c>
      <c r="J89" s="7">
        <v>12800</v>
      </c>
      <c r="K89" s="7">
        <v>115200</v>
      </c>
      <c r="L89" s="7">
        <v>69120</v>
      </c>
      <c r="M89" s="7">
        <v>46080</v>
      </c>
      <c r="N89" s="8">
        <v>0.4</v>
      </c>
    </row>
    <row r="90" spans="1:14" x14ac:dyDescent="0.25">
      <c r="A90" s="2" t="s">
        <v>132</v>
      </c>
      <c r="B90" s="3">
        <v>45363</v>
      </c>
      <c r="C90" s="2" t="s">
        <v>116</v>
      </c>
      <c r="D90" s="2" t="s">
        <v>16</v>
      </c>
      <c r="E90" s="2" t="s">
        <v>27</v>
      </c>
      <c r="F90" s="2" t="s">
        <v>18</v>
      </c>
      <c r="G90" s="2" t="s">
        <v>34</v>
      </c>
      <c r="H90" s="2" t="s">
        <v>35</v>
      </c>
      <c r="I90" s="2">
        <v>8</v>
      </c>
      <c r="J90" s="4">
        <v>3300</v>
      </c>
      <c r="K90" s="4">
        <v>26400</v>
      </c>
      <c r="L90" s="4">
        <v>12672</v>
      </c>
      <c r="M90" s="4">
        <v>13728</v>
      </c>
      <c r="N90" s="5">
        <v>0.52</v>
      </c>
    </row>
    <row r="91" spans="1:14" x14ac:dyDescent="0.25">
      <c r="A91" t="s">
        <v>133</v>
      </c>
      <c r="B91" s="6">
        <v>45363</v>
      </c>
      <c r="C91" t="s">
        <v>116</v>
      </c>
      <c r="D91" t="s">
        <v>16</v>
      </c>
      <c r="E91" t="s">
        <v>32</v>
      </c>
      <c r="F91" t="s">
        <v>18</v>
      </c>
      <c r="G91" t="s">
        <v>45</v>
      </c>
      <c r="H91" t="s">
        <v>46</v>
      </c>
      <c r="I91">
        <v>1</v>
      </c>
      <c r="J91" s="7">
        <v>9100</v>
      </c>
      <c r="K91" s="7">
        <v>9100</v>
      </c>
      <c r="L91" s="7">
        <v>5460</v>
      </c>
      <c r="M91" s="7">
        <v>3640</v>
      </c>
      <c r="N91" s="8">
        <v>0.4</v>
      </c>
    </row>
    <row r="92" spans="1:14" x14ac:dyDescent="0.25">
      <c r="A92" s="2" t="s">
        <v>134</v>
      </c>
      <c r="B92" s="3">
        <v>45363</v>
      </c>
      <c r="C92" s="2" t="s">
        <v>116</v>
      </c>
      <c r="D92" s="2" t="s">
        <v>16</v>
      </c>
      <c r="E92" s="2" t="s">
        <v>54</v>
      </c>
      <c r="F92" s="2" t="s">
        <v>23</v>
      </c>
      <c r="G92" s="2" t="s">
        <v>19</v>
      </c>
      <c r="H92" s="2" t="s">
        <v>20</v>
      </c>
      <c r="I92" s="2">
        <v>10</v>
      </c>
      <c r="J92" s="4">
        <v>4800</v>
      </c>
      <c r="K92" s="4">
        <v>48000</v>
      </c>
      <c r="L92" s="4">
        <v>26400</v>
      </c>
      <c r="M92" s="4">
        <v>21600</v>
      </c>
      <c r="N92" s="5">
        <v>0.45</v>
      </c>
    </row>
    <row r="93" spans="1:14" x14ac:dyDescent="0.25">
      <c r="A93" t="s">
        <v>135</v>
      </c>
      <c r="B93" s="6">
        <v>45364</v>
      </c>
      <c r="C93" t="s">
        <v>116</v>
      </c>
      <c r="D93" t="s">
        <v>16</v>
      </c>
      <c r="E93" t="s">
        <v>27</v>
      </c>
      <c r="F93" t="s">
        <v>23</v>
      </c>
      <c r="G93" t="s">
        <v>24</v>
      </c>
      <c r="H93" t="s">
        <v>25</v>
      </c>
      <c r="I93">
        <v>8</v>
      </c>
      <c r="J93" s="7">
        <v>14700</v>
      </c>
      <c r="K93" s="7">
        <v>117600</v>
      </c>
      <c r="L93" s="7">
        <v>68208</v>
      </c>
      <c r="M93" s="7">
        <v>49392</v>
      </c>
      <c r="N93" s="8">
        <v>0.42</v>
      </c>
    </row>
    <row r="94" spans="1:14" x14ac:dyDescent="0.25">
      <c r="A94" s="2" t="s">
        <v>136</v>
      </c>
      <c r="B94" s="3">
        <v>45365</v>
      </c>
      <c r="C94" s="2" t="s">
        <v>116</v>
      </c>
      <c r="D94" s="2" t="s">
        <v>16</v>
      </c>
      <c r="E94" s="2" t="s">
        <v>17</v>
      </c>
      <c r="F94" s="2" t="s">
        <v>28</v>
      </c>
      <c r="G94" s="2" t="s">
        <v>19</v>
      </c>
      <c r="H94" s="2" t="s">
        <v>20</v>
      </c>
      <c r="I94" s="2">
        <v>9</v>
      </c>
      <c r="J94" s="4">
        <v>4700</v>
      </c>
      <c r="K94" s="4">
        <v>42300</v>
      </c>
      <c r="L94" s="4">
        <v>23265</v>
      </c>
      <c r="M94" s="4">
        <v>19035</v>
      </c>
      <c r="N94" s="5">
        <v>0.45</v>
      </c>
    </row>
    <row r="95" spans="1:14" x14ac:dyDescent="0.25">
      <c r="A95" t="s">
        <v>137</v>
      </c>
      <c r="B95" s="6">
        <v>45365</v>
      </c>
      <c r="C95" t="s">
        <v>116</v>
      </c>
      <c r="D95" t="s">
        <v>16</v>
      </c>
      <c r="E95" t="s">
        <v>32</v>
      </c>
      <c r="F95" t="s">
        <v>33</v>
      </c>
      <c r="G95" t="s">
        <v>34</v>
      </c>
      <c r="H95" t="s">
        <v>35</v>
      </c>
      <c r="I95">
        <v>1</v>
      </c>
      <c r="J95" s="7">
        <v>3200</v>
      </c>
      <c r="K95" s="7">
        <v>3200</v>
      </c>
      <c r="L95" s="7">
        <v>1536</v>
      </c>
      <c r="M95" s="7">
        <v>1664</v>
      </c>
      <c r="N95" s="8">
        <v>0.52</v>
      </c>
    </row>
    <row r="96" spans="1:14" x14ac:dyDescent="0.25">
      <c r="A96" s="2" t="s">
        <v>138</v>
      </c>
      <c r="B96" s="3">
        <v>45366</v>
      </c>
      <c r="C96" s="2" t="s">
        <v>116</v>
      </c>
      <c r="D96" s="2" t="s">
        <v>16</v>
      </c>
      <c r="E96" s="2" t="s">
        <v>17</v>
      </c>
      <c r="F96" s="2" t="s">
        <v>33</v>
      </c>
      <c r="G96" s="2" t="s">
        <v>50</v>
      </c>
      <c r="H96" s="2" t="s">
        <v>46</v>
      </c>
      <c r="I96" s="2">
        <v>10</v>
      </c>
      <c r="J96" s="4">
        <v>24100</v>
      </c>
      <c r="K96" s="4">
        <v>241000</v>
      </c>
      <c r="L96" s="4">
        <v>156650</v>
      </c>
      <c r="M96" s="4">
        <v>84350</v>
      </c>
      <c r="N96" s="5">
        <v>0.35</v>
      </c>
    </row>
    <row r="97" spans="1:14" x14ac:dyDescent="0.25">
      <c r="A97" t="s">
        <v>139</v>
      </c>
      <c r="B97" s="6">
        <v>45369</v>
      </c>
      <c r="C97" t="s">
        <v>116</v>
      </c>
      <c r="D97" t="s">
        <v>16</v>
      </c>
      <c r="E97" t="s">
        <v>17</v>
      </c>
      <c r="F97" t="s">
        <v>23</v>
      </c>
      <c r="G97" t="s">
        <v>34</v>
      </c>
      <c r="H97" t="s">
        <v>35</v>
      </c>
      <c r="I97">
        <v>7</v>
      </c>
      <c r="J97" s="7">
        <v>3800</v>
      </c>
      <c r="K97" s="7">
        <v>26600</v>
      </c>
      <c r="L97" s="7">
        <v>12768</v>
      </c>
      <c r="M97" s="7">
        <v>13832</v>
      </c>
      <c r="N97" s="8">
        <v>0.52</v>
      </c>
    </row>
    <row r="98" spans="1:14" x14ac:dyDescent="0.25">
      <c r="A98" s="2" t="s">
        <v>140</v>
      </c>
      <c r="B98" s="3">
        <v>45369</v>
      </c>
      <c r="C98" s="2" t="s">
        <v>116</v>
      </c>
      <c r="D98" s="2" t="s">
        <v>16</v>
      </c>
      <c r="E98" s="2" t="s">
        <v>54</v>
      </c>
      <c r="F98" s="2" t="s">
        <v>18</v>
      </c>
      <c r="G98" s="2" t="s">
        <v>50</v>
      </c>
      <c r="H98" s="2" t="s">
        <v>46</v>
      </c>
      <c r="I98" s="2">
        <v>8</v>
      </c>
      <c r="J98" s="4">
        <v>23900</v>
      </c>
      <c r="K98" s="4">
        <v>191200</v>
      </c>
      <c r="L98" s="4">
        <v>124280</v>
      </c>
      <c r="M98" s="4">
        <v>66920</v>
      </c>
      <c r="N98" s="5">
        <v>0.35</v>
      </c>
    </row>
    <row r="99" spans="1:14" x14ac:dyDescent="0.25">
      <c r="A99" t="s">
        <v>141</v>
      </c>
      <c r="B99" s="6">
        <v>45370</v>
      </c>
      <c r="C99" t="s">
        <v>116</v>
      </c>
      <c r="D99" t="s">
        <v>16</v>
      </c>
      <c r="E99" t="s">
        <v>17</v>
      </c>
      <c r="F99" t="s">
        <v>18</v>
      </c>
      <c r="G99" t="s">
        <v>24</v>
      </c>
      <c r="H99" t="s">
        <v>25</v>
      </c>
      <c r="I99">
        <v>9</v>
      </c>
      <c r="J99" s="7">
        <v>16400</v>
      </c>
      <c r="K99" s="7">
        <v>147600</v>
      </c>
      <c r="L99" s="7">
        <v>85608</v>
      </c>
      <c r="M99" s="7">
        <v>61992</v>
      </c>
      <c r="N99" s="8">
        <v>0.42</v>
      </c>
    </row>
    <row r="100" spans="1:14" x14ac:dyDescent="0.25">
      <c r="A100" s="2" t="s">
        <v>142</v>
      </c>
      <c r="B100" s="3">
        <v>45371</v>
      </c>
      <c r="C100" s="2" t="s">
        <v>116</v>
      </c>
      <c r="D100" s="2" t="s">
        <v>16</v>
      </c>
      <c r="E100" s="2" t="s">
        <v>37</v>
      </c>
      <c r="F100" s="2" t="s">
        <v>28</v>
      </c>
      <c r="G100" s="2" t="s">
        <v>19</v>
      </c>
      <c r="H100" s="2" t="s">
        <v>20</v>
      </c>
      <c r="I100" s="2">
        <v>4</v>
      </c>
      <c r="J100" s="4">
        <v>4900</v>
      </c>
      <c r="K100" s="4">
        <v>19600</v>
      </c>
      <c r="L100" s="4">
        <v>10780</v>
      </c>
      <c r="M100" s="4">
        <v>8820</v>
      </c>
      <c r="N100" s="5">
        <v>0.45</v>
      </c>
    </row>
    <row r="101" spans="1:14" x14ac:dyDescent="0.25">
      <c r="A101" t="s">
        <v>143</v>
      </c>
      <c r="B101" s="6">
        <v>45371</v>
      </c>
      <c r="C101" t="s">
        <v>116</v>
      </c>
      <c r="D101" t="s">
        <v>16</v>
      </c>
      <c r="E101" t="s">
        <v>17</v>
      </c>
      <c r="F101" t="s">
        <v>59</v>
      </c>
      <c r="G101" t="s">
        <v>34</v>
      </c>
      <c r="H101" t="s">
        <v>35</v>
      </c>
      <c r="I101">
        <v>8</v>
      </c>
      <c r="J101" s="7">
        <v>3700</v>
      </c>
      <c r="K101" s="7">
        <v>29600</v>
      </c>
      <c r="L101" s="7">
        <v>14208</v>
      </c>
      <c r="M101" s="7">
        <v>15392</v>
      </c>
      <c r="N101" s="8">
        <v>0.52</v>
      </c>
    </row>
    <row r="102" spans="1:14" x14ac:dyDescent="0.25">
      <c r="A102" s="2" t="s">
        <v>144</v>
      </c>
      <c r="B102" s="3">
        <v>45371</v>
      </c>
      <c r="C102" s="2" t="s">
        <v>116</v>
      </c>
      <c r="D102" s="2" t="s">
        <v>16</v>
      </c>
      <c r="E102" s="2" t="s">
        <v>54</v>
      </c>
      <c r="F102" s="2" t="s">
        <v>23</v>
      </c>
      <c r="G102" s="2" t="s">
        <v>45</v>
      </c>
      <c r="H102" s="2" t="s">
        <v>46</v>
      </c>
      <c r="I102" s="2">
        <v>2</v>
      </c>
      <c r="J102" s="4">
        <v>8600</v>
      </c>
      <c r="K102" s="4">
        <v>17200</v>
      </c>
      <c r="L102" s="4">
        <v>10320</v>
      </c>
      <c r="M102" s="4">
        <v>6880</v>
      </c>
      <c r="N102" s="5">
        <v>0.4</v>
      </c>
    </row>
    <row r="103" spans="1:14" x14ac:dyDescent="0.25">
      <c r="A103" t="s">
        <v>145</v>
      </c>
      <c r="B103" s="6">
        <v>45372</v>
      </c>
      <c r="C103" t="s">
        <v>116</v>
      </c>
      <c r="D103" t="s">
        <v>16</v>
      </c>
      <c r="E103" t="s">
        <v>17</v>
      </c>
      <c r="F103" t="s">
        <v>33</v>
      </c>
      <c r="G103" t="s">
        <v>45</v>
      </c>
      <c r="H103" t="s">
        <v>46</v>
      </c>
      <c r="I103">
        <v>5</v>
      </c>
      <c r="J103" s="7">
        <v>10000</v>
      </c>
      <c r="K103" s="7">
        <v>50000</v>
      </c>
      <c r="L103" s="7">
        <v>30000</v>
      </c>
      <c r="M103" s="7">
        <v>20000</v>
      </c>
      <c r="N103" s="8">
        <v>0.4</v>
      </c>
    </row>
    <row r="104" spans="1:14" x14ac:dyDescent="0.25">
      <c r="A104" s="2" t="s">
        <v>146</v>
      </c>
      <c r="B104" s="3">
        <v>45372</v>
      </c>
      <c r="C104" s="2" t="s">
        <v>116</v>
      </c>
      <c r="D104" s="2" t="s">
        <v>16</v>
      </c>
      <c r="E104" s="2" t="s">
        <v>27</v>
      </c>
      <c r="F104" s="2" t="s">
        <v>18</v>
      </c>
      <c r="G104" s="2" t="s">
        <v>29</v>
      </c>
      <c r="H104" s="2" t="s">
        <v>30</v>
      </c>
      <c r="I104" s="2">
        <v>2</v>
      </c>
      <c r="J104" s="4">
        <v>2400</v>
      </c>
      <c r="K104" s="4">
        <v>4800</v>
      </c>
      <c r="L104" s="4">
        <v>2160</v>
      </c>
      <c r="M104" s="4">
        <v>2640</v>
      </c>
      <c r="N104" s="5">
        <v>0.55000000000000004</v>
      </c>
    </row>
    <row r="105" spans="1:14" x14ac:dyDescent="0.25">
      <c r="A105" t="s">
        <v>147</v>
      </c>
      <c r="B105" s="6">
        <v>45373</v>
      </c>
      <c r="C105" t="s">
        <v>116</v>
      </c>
      <c r="D105" t="s">
        <v>16</v>
      </c>
      <c r="E105" t="s">
        <v>22</v>
      </c>
      <c r="F105" t="s">
        <v>18</v>
      </c>
      <c r="G105" t="s">
        <v>19</v>
      </c>
      <c r="H105" t="s">
        <v>20</v>
      </c>
      <c r="I105">
        <v>9</v>
      </c>
      <c r="J105" s="7">
        <v>5200</v>
      </c>
      <c r="K105" s="7">
        <v>46800</v>
      </c>
      <c r="L105" s="7">
        <v>25740</v>
      </c>
      <c r="M105" s="7">
        <v>21060</v>
      </c>
      <c r="N105" s="8">
        <v>0.45</v>
      </c>
    </row>
    <row r="106" spans="1:14" x14ac:dyDescent="0.25">
      <c r="A106" s="2" t="s">
        <v>148</v>
      </c>
      <c r="B106" s="3">
        <v>45375</v>
      </c>
      <c r="C106" s="2" t="s">
        <v>116</v>
      </c>
      <c r="D106" s="2" t="s">
        <v>16</v>
      </c>
      <c r="E106" s="2" t="s">
        <v>37</v>
      </c>
      <c r="F106" s="2" t="s">
        <v>23</v>
      </c>
      <c r="G106" s="2" t="s">
        <v>29</v>
      </c>
      <c r="H106" s="2" t="s">
        <v>30</v>
      </c>
      <c r="I106" s="2">
        <v>7</v>
      </c>
      <c r="J106" s="4">
        <v>2600</v>
      </c>
      <c r="K106" s="4">
        <v>18200</v>
      </c>
      <c r="L106" s="4">
        <v>8190</v>
      </c>
      <c r="M106" s="4">
        <v>10010</v>
      </c>
      <c r="N106" s="5">
        <v>0.55000000000000004</v>
      </c>
    </row>
    <row r="107" spans="1:14" x14ac:dyDescent="0.25">
      <c r="A107" t="s">
        <v>149</v>
      </c>
      <c r="B107" s="6">
        <v>45378</v>
      </c>
      <c r="C107" t="s">
        <v>116</v>
      </c>
      <c r="D107" t="s">
        <v>16</v>
      </c>
      <c r="E107" t="s">
        <v>54</v>
      </c>
      <c r="F107" t="s">
        <v>18</v>
      </c>
      <c r="G107" t="s">
        <v>38</v>
      </c>
      <c r="H107" t="s">
        <v>39</v>
      </c>
      <c r="I107">
        <v>10</v>
      </c>
      <c r="J107" s="7">
        <v>11700</v>
      </c>
      <c r="K107" s="7">
        <v>117000</v>
      </c>
      <c r="L107" s="7">
        <v>70200</v>
      </c>
      <c r="M107" s="7">
        <v>46800</v>
      </c>
      <c r="N107" s="8">
        <v>0.4</v>
      </c>
    </row>
    <row r="108" spans="1:14" x14ac:dyDescent="0.25">
      <c r="A108" s="2" t="s">
        <v>150</v>
      </c>
      <c r="B108" s="3">
        <v>45378</v>
      </c>
      <c r="C108" s="2" t="s">
        <v>116</v>
      </c>
      <c r="D108" s="2" t="s">
        <v>16</v>
      </c>
      <c r="E108" s="2" t="s">
        <v>37</v>
      </c>
      <c r="F108" s="2" t="s">
        <v>23</v>
      </c>
      <c r="G108" s="2" t="s">
        <v>63</v>
      </c>
      <c r="H108" s="2" t="s">
        <v>46</v>
      </c>
      <c r="I108" s="2">
        <v>10</v>
      </c>
      <c r="J108" s="4">
        <v>7500</v>
      </c>
      <c r="K108" s="4">
        <v>75000</v>
      </c>
      <c r="L108" s="4">
        <v>46500</v>
      </c>
      <c r="M108" s="4">
        <v>28500</v>
      </c>
      <c r="N108" s="5">
        <v>0.38</v>
      </c>
    </row>
    <row r="109" spans="1:14" x14ac:dyDescent="0.25">
      <c r="A109" t="s">
        <v>151</v>
      </c>
      <c r="B109" s="6">
        <v>45379</v>
      </c>
      <c r="C109" t="s">
        <v>116</v>
      </c>
      <c r="D109" t="s">
        <v>16</v>
      </c>
      <c r="E109" t="s">
        <v>54</v>
      </c>
      <c r="F109" t="s">
        <v>33</v>
      </c>
      <c r="G109" t="s">
        <v>29</v>
      </c>
      <c r="H109" t="s">
        <v>30</v>
      </c>
      <c r="I109">
        <v>7</v>
      </c>
      <c r="J109" s="7">
        <v>2400</v>
      </c>
      <c r="K109" s="7">
        <v>16800</v>
      </c>
      <c r="L109" s="7">
        <v>7560</v>
      </c>
      <c r="M109" s="7">
        <v>9240</v>
      </c>
      <c r="N109" s="8">
        <v>0.55000000000000004</v>
      </c>
    </row>
    <row r="110" spans="1:14" x14ac:dyDescent="0.25">
      <c r="A110" s="2" t="s">
        <v>152</v>
      </c>
      <c r="B110" s="3">
        <v>45379</v>
      </c>
      <c r="C110" s="2" t="s">
        <v>116</v>
      </c>
      <c r="D110" s="2" t="s">
        <v>16</v>
      </c>
      <c r="E110" s="2" t="s">
        <v>32</v>
      </c>
      <c r="F110" s="2" t="s">
        <v>59</v>
      </c>
      <c r="G110" s="2" t="s">
        <v>45</v>
      </c>
      <c r="H110" s="2" t="s">
        <v>46</v>
      </c>
      <c r="I110" s="2">
        <v>6</v>
      </c>
      <c r="J110" s="4">
        <v>10000</v>
      </c>
      <c r="K110" s="4">
        <v>60000</v>
      </c>
      <c r="L110" s="4">
        <v>36000</v>
      </c>
      <c r="M110" s="4">
        <v>24000</v>
      </c>
      <c r="N110" s="5">
        <v>0.4</v>
      </c>
    </row>
    <row r="111" spans="1:14" x14ac:dyDescent="0.25">
      <c r="A111" t="s">
        <v>153</v>
      </c>
      <c r="B111" s="6">
        <v>45380</v>
      </c>
      <c r="C111" t="s">
        <v>116</v>
      </c>
      <c r="D111" t="s">
        <v>16</v>
      </c>
      <c r="E111" t="s">
        <v>27</v>
      </c>
      <c r="F111" t="s">
        <v>33</v>
      </c>
      <c r="G111" t="s">
        <v>63</v>
      </c>
      <c r="H111" t="s">
        <v>46</v>
      </c>
      <c r="I111">
        <v>2</v>
      </c>
      <c r="J111" s="7">
        <v>8700</v>
      </c>
      <c r="K111" s="7">
        <v>17400</v>
      </c>
      <c r="L111" s="7">
        <v>10788</v>
      </c>
      <c r="M111" s="7">
        <v>6612</v>
      </c>
      <c r="N111" s="8">
        <v>0.38</v>
      </c>
    </row>
    <row r="112" spans="1:14" x14ac:dyDescent="0.25">
      <c r="A112" s="2" t="s">
        <v>154</v>
      </c>
      <c r="B112" s="3">
        <v>45381</v>
      </c>
      <c r="C112" s="2" t="s">
        <v>116</v>
      </c>
      <c r="D112" s="2" t="s">
        <v>16</v>
      </c>
      <c r="E112" s="2" t="s">
        <v>54</v>
      </c>
      <c r="F112" s="2" t="s">
        <v>28</v>
      </c>
      <c r="G112" s="2" t="s">
        <v>19</v>
      </c>
      <c r="H112" s="2" t="s">
        <v>20</v>
      </c>
      <c r="I112" s="2">
        <v>1</v>
      </c>
      <c r="J112" s="4">
        <v>5000</v>
      </c>
      <c r="K112" s="4">
        <v>5000</v>
      </c>
      <c r="L112" s="4">
        <v>2750</v>
      </c>
      <c r="M112" s="4">
        <v>2250</v>
      </c>
      <c r="N112" s="5">
        <v>0.45</v>
      </c>
    </row>
    <row r="113" spans="1:14" x14ac:dyDescent="0.25">
      <c r="A113" t="s">
        <v>155</v>
      </c>
      <c r="B113" s="6">
        <v>45381</v>
      </c>
      <c r="C113" t="s">
        <v>116</v>
      </c>
      <c r="D113" t="s">
        <v>16</v>
      </c>
      <c r="E113" t="s">
        <v>54</v>
      </c>
      <c r="F113" t="s">
        <v>42</v>
      </c>
      <c r="G113" t="s">
        <v>45</v>
      </c>
      <c r="H113" t="s">
        <v>46</v>
      </c>
      <c r="I113">
        <v>8</v>
      </c>
      <c r="J113" s="7">
        <v>9300</v>
      </c>
      <c r="K113" s="7">
        <v>74400</v>
      </c>
      <c r="L113" s="7">
        <v>44640</v>
      </c>
      <c r="M113" s="7">
        <v>29760</v>
      </c>
      <c r="N113" s="8">
        <v>0.4</v>
      </c>
    </row>
    <row r="114" spans="1:14" x14ac:dyDescent="0.25">
      <c r="A114" s="2" t="s">
        <v>156</v>
      </c>
      <c r="B114" s="3">
        <v>45381</v>
      </c>
      <c r="C114" s="2" t="s">
        <v>116</v>
      </c>
      <c r="D114" s="2" t="s">
        <v>16</v>
      </c>
      <c r="E114" s="2" t="s">
        <v>17</v>
      </c>
      <c r="F114" s="2" t="s">
        <v>23</v>
      </c>
      <c r="G114" s="2" t="s">
        <v>63</v>
      </c>
      <c r="H114" s="2" t="s">
        <v>46</v>
      </c>
      <c r="I114" s="2">
        <v>4</v>
      </c>
      <c r="J114" s="4">
        <v>8000</v>
      </c>
      <c r="K114" s="4">
        <v>32000</v>
      </c>
      <c r="L114" s="4">
        <v>19840</v>
      </c>
      <c r="M114" s="4">
        <v>12160</v>
      </c>
      <c r="N114" s="5">
        <v>0.38</v>
      </c>
    </row>
    <row r="115" spans="1:14" x14ac:dyDescent="0.25">
      <c r="A115" t="s">
        <v>157</v>
      </c>
      <c r="B115" s="6">
        <v>45381</v>
      </c>
      <c r="C115" t="s">
        <v>116</v>
      </c>
      <c r="D115" t="s">
        <v>16</v>
      </c>
      <c r="E115" t="s">
        <v>37</v>
      </c>
      <c r="F115" t="s">
        <v>42</v>
      </c>
      <c r="G115" t="s">
        <v>45</v>
      </c>
      <c r="H115" t="s">
        <v>46</v>
      </c>
      <c r="I115">
        <v>8</v>
      </c>
      <c r="J115" s="7">
        <v>10300</v>
      </c>
      <c r="K115" s="7">
        <v>82400</v>
      </c>
      <c r="L115" s="7">
        <v>49440</v>
      </c>
      <c r="M115" s="7">
        <v>32960</v>
      </c>
      <c r="N115" s="8">
        <v>0.4</v>
      </c>
    </row>
    <row r="116" spans="1:14" x14ac:dyDescent="0.25">
      <c r="A116" s="2" t="s">
        <v>158</v>
      </c>
      <c r="B116" s="3">
        <v>45381</v>
      </c>
      <c r="C116" s="2" t="s">
        <v>116</v>
      </c>
      <c r="D116" s="2" t="s">
        <v>16</v>
      </c>
      <c r="E116" s="2" t="s">
        <v>54</v>
      </c>
      <c r="F116" s="2" t="s">
        <v>33</v>
      </c>
      <c r="G116" s="2" t="s">
        <v>34</v>
      </c>
      <c r="H116" s="2" t="s">
        <v>35</v>
      </c>
      <c r="I116" s="2">
        <v>1</v>
      </c>
      <c r="J116" s="4">
        <v>3600</v>
      </c>
      <c r="K116" s="4">
        <v>3600</v>
      </c>
      <c r="L116" s="4">
        <v>1728</v>
      </c>
      <c r="M116" s="4">
        <v>1872</v>
      </c>
      <c r="N116" s="5">
        <v>0.52</v>
      </c>
    </row>
    <row r="117" spans="1:14" x14ac:dyDescent="0.25">
      <c r="A117" t="s">
        <v>159</v>
      </c>
      <c r="B117" s="6">
        <v>45382</v>
      </c>
      <c r="C117" t="s">
        <v>116</v>
      </c>
      <c r="D117" t="s">
        <v>16</v>
      </c>
      <c r="E117" t="s">
        <v>22</v>
      </c>
      <c r="F117" t="s">
        <v>33</v>
      </c>
      <c r="G117" t="s">
        <v>34</v>
      </c>
      <c r="H117" t="s">
        <v>35</v>
      </c>
      <c r="I117">
        <v>6</v>
      </c>
      <c r="J117" s="7">
        <v>3200</v>
      </c>
      <c r="K117" s="7">
        <v>19200</v>
      </c>
      <c r="L117" s="7">
        <v>9216</v>
      </c>
      <c r="M117" s="7">
        <v>9984</v>
      </c>
      <c r="N117" s="8">
        <v>0.52</v>
      </c>
    </row>
    <row r="118" spans="1:14" x14ac:dyDescent="0.25">
      <c r="A118" s="2" t="s">
        <v>160</v>
      </c>
      <c r="B118" s="3">
        <v>45382</v>
      </c>
      <c r="C118" s="2" t="s">
        <v>116</v>
      </c>
      <c r="D118" s="2" t="s">
        <v>16</v>
      </c>
      <c r="E118" s="2" t="s">
        <v>37</v>
      </c>
      <c r="F118" s="2" t="s">
        <v>33</v>
      </c>
      <c r="G118" s="2" t="s">
        <v>34</v>
      </c>
      <c r="H118" s="2" t="s">
        <v>35</v>
      </c>
      <c r="I118" s="2">
        <v>5</v>
      </c>
      <c r="J118" s="4">
        <v>4000</v>
      </c>
      <c r="K118" s="4">
        <v>20000</v>
      </c>
      <c r="L118" s="4">
        <v>9600</v>
      </c>
      <c r="M118" s="4">
        <v>10400</v>
      </c>
      <c r="N118" s="5">
        <v>0.52</v>
      </c>
    </row>
    <row r="119" spans="1:14" x14ac:dyDescent="0.25">
      <c r="A119" t="s">
        <v>161</v>
      </c>
      <c r="B119" s="6">
        <v>45384</v>
      </c>
      <c r="C119" t="s">
        <v>162</v>
      </c>
      <c r="D119" t="s">
        <v>163</v>
      </c>
      <c r="E119" t="s">
        <v>27</v>
      </c>
      <c r="F119" t="s">
        <v>42</v>
      </c>
      <c r="G119" t="s">
        <v>29</v>
      </c>
      <c r="H119" t="s">
        <v>30</v>
      </c>
      <c r="I119">
        <v>8</v>
      </c>
      <c r="J119" s="7">
        <v>2500</v>
      </c>
      <c r="K119" s="7">
        <v>20000</v>
      </c>
      <c r="L119" s="7">
        <v>9000</v>
      </c>
      <c r="M119" s="7">
        <v>11000</v>
      </c>
      <c r="N119" s="8">
        <v>0.55000000000000004</v>
      </c>
    </row>
    <row r="120" spans="1:14" x14ac:dyDescent="0.25">
      <c r="A120" s="2" t="s">
        <v>164</v>
      </c>
      <c r="B120" s="3">
        <v>45385</v>
      </c>
      <c r="C120" s="2" t="s">
        <v>162</v>
      </c>
      <c r="D120" s="2" t="s">
        <v>163</v>
      </c>
      <c r="E120" s="2" t="s">
        <v>27</v>
      </c>
      <c r="F120" s="2" t="s">
        <v>59</v>
      </c>
      <c r="G120" s="2" t="s">
        <v>50</v>
      </c>
      <c r="H120" s="2" t="s">
        <v>46</v>
      </c>
      <c r="I120" s="2">
        <v>6</v>
      </c>
      <c r="J120" s="4">
        <v>24100</v>
      </c>
      <c r="K120" s="4">
        <v>144600</v>
      </c>
      <c r="L120" s="4">
        <v>93990</v>
      </c>
      <c r="M120" s="4">
        <v>50610</v>
      </c>
      <c r="N120" s="5">
        <v>0.35</v>
      </c>
    </row>
    <row r="121" spans="1:14" x14ac:dyDescent="0.25">
      <c r="A121" t="s">
        <v>165</v>
      </c>
      <c r="B121" s="6">
        <v>45390</v>
      </c>
      <c r="C121" t="s">
        <v>162</v>
      </c>
      <c r="D121" t="s">
        <v>163</v>
      </c>
      <c r="E121" t="s">
        <v>27</v>
      </c>
      <c r="F121" t="s">
        <v>28</v>
      </c>
      <c r="G121" t="s">
        <v>29</v>
      </c>
      <c r="H121" t="s">
        <v>30</v>
      </c>
      <c r="I121">
        <v>5</v>
      </c>
      <c r="J121" s="7">
        <v>2400</v>
      </c>
      <c r="K121" s="7">
        <v>12000</v>
      </c>
      <c r="L121" s="7">
        <v>5400</v>
      </c>
      <c r="M121" s="7">
        <v>6600</v>
      </c>
      <c r="N121" s="8">
        <v>0.55000000000000004</v>
      </c>
    </row>
    <row r="122" spans="1:14" x14ac:dyDescent="0.25">
      <c r="A122" s="2" t="s">
        <v>166</v>
      </c>
      <c r="B122" s="3">
        <v>45391</v>
      </c>
      <c r="C122" s="2" t="s">
        <v>162</v>
      </c>
      <c r="D122" s="2" t="s">
        <v>163</v>
      </c>
      <c r="E122" s="2" t="s">
        <v>22</v>
      </c>
      <c r="F122" s="2" t="s">
        <v>59</v>
      </c>
      <c r="G122" s="2" t="s">
        <v>24</v>
      </c>
      <c r="H122" s="2" t="s">
        <v>25</v>
      </c>
      <c r="I122" s="2">
        <v>10</v>
      </c>
      <c r="J122" s="4">
        <v>16000</v>
      </c>
      <c r="K122" s="4">
        <v>160000</v>
      </c>
      <c r="L122" s="4">
        <v>92800</v>
      </c>
      <c r="M122" s="4">
        <v>67200</v>
      </c>
      <c r="N122" s="5">
        <v>0.42</v>
      </c>
    </row>
    <row r="123" spans="1:14" x14ac:dyDescent="0.25">
      <c r="A123" t="s">
        <v>167</v>
      </c>
      <c r="B123" s="6">
        <v>45391</v>
      </c>
      <c r="C123" t="s">
        <v>162</v>
      </c>
      <c r="D123" t="s">
        <v>163</v>
      </c>
      <c r="E123" t="s">
        <v>22</v>
      </c>
      <c r="F123" t="s">
        <v>23</v>
      </c>
      <c r="G123" t="s">
        <v>24</v>
      </c>
      <c r="H123" t="s">
        <v>25</v>
      </c>
      <c r="I123">
        <v>2</v>
      </c>
      <c r="J123" s="7">
        <v>15600</v>
      </c>
      <c r="K123" s="7">
        <v>31200</v>
      </c>
      <c r="L123" s="7">
        <v>18096</v>
      </c>
      <c r="M123" s="7">
        <v>13104</v>
      </c>
      <c r="N123" s="8">
        <v>0.42</v>
      </c>
    </row>
    <row r="124" spans="1:14" x14ac:dyDescent="0.25">
      <c r="A124" s="2" t="s">
        <v>168</v>
      </c>
      <c r="B124" s="3">
        <v>45394</v>
      </c>
      <c r="C124" s="2" t="s">
        <v>162</v>
      </c>
      <c r="D124" s="2" t="s">
        <v>163</v>
      </c>
      <c r="E124" s="2" t="s">
        <v>22</v>
      </c>
      <c r="F124" s="2" t="s">
        <v>23</v>
      </c>
      <c r="G124" s="2" t="s">
        <v>19</v>
      </c>
      <c r="H124" s="2" t="s">
        <v>20</v>
      </c>
      <c r="I124" s="2">
        <v>6</v>
      </c>
      <c r="J124" s="4">
        <v>5000</v>
      </c>
      <c r="K124" s="4">
        <v>30000</v>
      </c>
      <c r="L124" s="4">
        <v>16500</v>
      </c>
      <c r="M124" s="4">
        <v>13500</v>
      </c>
      <c r="N124" s="5">
        <v>0.45</v>
      </c>
    </row>
    <row r="125" spans="1:14" x14ac:dyDescent="0.25">
      <c r="A125" t="s">
        <v>169</v>
      </c>
      <c r="B125" s="6">
        <v>45394</v>
      </c>
      <c r="C125" t="s">
        <v>162</v>
      </c>
      <c r="D125" t="s">
        <v>163</v>
      </c>
      <c r="E125" t="s">
        <v>27</v>
      </c>
      <c r="F125" t="s">
        <v>59</v>
      </c>
      <c r="G125" t="s">
        <v>50</v>
      </c>
      <c r="H125" t="s">
        <v>46</v>
      </c>
      <c r="I125">
        <v>4</v>
      </c>
      <c r="J125" s="7">
        <v>26400</v>
      </c>
      <c r="K125" s="7">
        <v>105600</v>
      </c>
      <c r="L125" s="7">
        <v>68640</v>
      </c>
      <c r="M125" s="7">
        <v>36960</v>
      </c>
      <c r="N125" s="8">
        <v>0.35</v>
      </c>
    </row>
    <row r="126" spans="1:14" x14ac:dyDescent="0.25">
      <c r="A126" s="2" t="s">
        <v>170</v>
      </c>
      <c r="B126" s="3">
        <v>45394</v>
      </c>
      <c r="C126" s="2" t="s">
        <v>162</v>
      </c>
      <c r="D126" s="2" t="s">
        <v>163</v>
      </c>
      <c r="E126" s="2" t="s">
        <v>32</v>
      </c>
      <c r="F126" s="2" t="s">
        <v>28</v>
      </c>
      <c r="G126" s="2" t="s">
        <v>63</v>
      </c>
      <c r="H126" s="2" t="s">
        <v>46</v>
      </c>
      <c r="I126" s="2">
        <v>8</v>
      </c>
      <c r="J126" s="4">
        <v>7700</v>
      </c>
      <c r="K126" s="4">
        <v>61600</v>
      </c>
      <c r="L126" s="4">
        <v>38192</v>
      </c>
      <c r="M126" s="4">
        <v>23408</v>
      </c>
      <c r="N126" s="5">
        <v>0.38</v>
      </c>
    </row>
    <row r="127" spans="1:14" x14ac:dyDescent="0.25">
      <c r="A127" t="s">
        <v>171</v>
      </c>
      <c r="B127" s="6">
        <v>45395</v>
      </c>
      <c r="C127" t="s">
        <v>162</v>
      </c>
      <c r="D127" t="s">
        <v>163</v>
      </c>
      <c r="E127" t="s">
        <v>54</v>
      </c>
      <c r="F127" t="s">
        <v>28</v>
      </c>
      <c r="G127" t="s">
        <v>50</v>
      </c>
      <c r="H127" t="s">
        <v>46</v>
      </c>
      <c r="I127">
        <v>1</v>
      </c>
      <c r="J127" s="7">
        <v>27400</v>
      </c>
      <c r="K127" s="7">
        <v>27400</v>
      </c>
      <c r="L127" s="7">
        <v>17810</v>
      </c>
      <c r="M127" s="7">
        <v>9590</v>
      </c>
      <c r="N127" s="8">
        <v>0.35</v>
      </c>
    </row>
    <row r="128" spans="1:14" x14ac:dyDescent="0.25">
      <c r="A128" s="2" t="s">
        <v>172</v>
      </c>
      <c r="B128" s="3">
        <v>45396</v>
      </c>
      <c r="C128" s="2" t="s">
        <v>162</v>
      </c>
      <c r="D128" s="2" t="s">
        <v>163</v>
      </c>
      <c r="E128" s="2" t="s">
        <v>32</v>
      </c>
      <c r="F128" s="2" t="s">
        <v>18</v>
      </c>
      <c r="G128" s="2" t="s">
        <v>19</v>
      </c>
      <c r="H128" s="2" t="s">
        <v>20</v>
      </c>
      <c r="I128" s="2">
        <v>5</v>
      </c>
      <c r="J128" s="4">
        <v>5100</v>
      </c>
      <c r="K128" s="4">
        <v>25500</v>
      </c>
      <c r="L128" s="4">
        <v>14025</v>
      </c>
      <c r="M128" s="4">
        <v>11475</v>
      </c>
      <c r="N128" s="5">
        <v>0.45</v>
      </c>
    </row>
    <row r="129" spans="1:14" x14ac:dyDescent="0.25">
      <c r="A129" t="s">
        <v>173</v>
      </c>
      <c r="B129" s="6">
        <v>45396</v>
      </c>
      <c r="C129" t="s">
        <v>162</v>
      </c>
      <c r="D129" t="s">
        <v>163</v>
      </c>
      <c r="E129" t="s">
        <v>37</v>
      </c>
      <c r="F129" t="s">
        <v>28</v>
      </c>
      <c r="G129" t="s">
        <v>24</v>
      </c>
      <c r="H129" t="s">
        <v>25</v>
      </c>
      <c r="I129">
        <v>6</v>
      </c>
      <c r="J129" s="7">
        <v>15800</v>
      </c>
      <c r="K129" s="7">
        <v>94800</v>
      </c>
      <c r="L129" s="7">
        <v>54984</v>
      </c>
      <c r="M129" s="7">
        <v>39816</v>
      </c>
      <c r="N129" s="8">
        <v>0.42</v>
      </c>
    </row>
    <row r="130" spans="1:14" x14ac:dyDescent="0.25">
      <c r="A130" s="2" t="s">
        <v>174</v>
      </c>
      <c r="B130" s="3">
        <v>45399</v>
      </c>
      <c r="C130" s="2" t="s">
        <v>162</v>
      </c>
      <c r="D130" s="2" t="s">
        <v>163</v>
      </c>
      <c r="E130" s="2" t="s">
        <v>37</v>
      </c>
      <c r="F130" s="2" t="s">
        <v>28</v>
      </c>
      <c r="G130" s="2" t="s">
        <v>34</v>
      </c>
      <c r="H130" s="2" t="s">
        <v>35</v>
      </c>
      <c r="I130" s="2">
        <v>10</v>
      </c>
      <c r="J130" s="4">
        <v>3800</v>
      </c>
      <c r="K130" s="4">
        <v>38000</v>
      </c>
      <c r="L130" s="4">
        <v>18240</v>
      </c>
      <c r="M130" s="4">
        <v>19760</v>
      </c>
      <c r="N130" s="5">
        <v>0.52</v>
      </c>
    </row>
    <row r="131" spans="1:14" x14ac:dyDescent="0.25">
      <c r="A131" t="s">
        <v>175</v>
      </c>
      <c r="B131" s="6">
        <v>45400</v>
      </c>
      <c r="C131" t="s">
        <v>162</v>
      </c>
      <c r="D131" t="s">
        <v>163</v>
      </c>
      <c r="E131" t="s">
        <v>37</v>
      </c>
      <c r="F131" t="s">
        <v>59</v>
      </c>
      <c r="G131" t="s">
        <v>29</v>
      </c>
      <c r="H131" t="s">
        <v>30</v>
      </c>
      <c r="I131">
        <v>2</v>
      </c>
      <c r="J131" s="7">
        <v>2900</v>
      </c>
      <c r="K131" s="7">
        <v>5800</v>
      </c>
      <c r="L131" s="7">
        <v>2610</v>
      </c>
      <c r="M131" s="7">
        <v>3190</v>
      </c>
      <c r="N131" s="8">
        <v>0.55000000000000004</v>
      </c>
    </row>
    <row r="132" spans="1:14" x14ac:dyDescent="0.25">
      <c r="A132" s="2" t="s">
        <v>176</v>
      </c>
      <c r="B132" s="3">
        <v>45403</v>
      </c>
      <c r="C132" s="2" t="s">
        <v>162</v>
      </c>
      <c r="D132" s="2" t="s">
        <v>163</v>
      </c>
      <c r="E132" s="2" t="s">
        <v>37</v>
      </c>
      <c r="F132" s="2" t="s">
        <v>18</v>
      </c>
      <c r="G132" s="2" t="s">
        <v>38</v>
      </c>
      <c r="H132" s="2" t="s">
        <v>39</v>
      </c>
      <c r="I132" s="2">
        <v>6</v>
      </c>
      <c r="J132" s="4">
        <v>10900</v>
      </c>
      <c r="K132" s="4">
        <v>65400</v>
      </c>
      <c r="L132" s="4">
        <v>39240</v>
      </c>
      <c r="M132" s="4">
        <v>26160</v>
      </c>
      <c r="N132" s="5">
        <v>0.4</v>
      </c>
    </row>
    <row r="133" spans="1:14" x14ac:dyDescent="0.25">
      <c r="A133" t="s">
        <v>177</v>
      </c>
      <c r="B133" s="6">
        <v>45404</v>
      </c>
      <c r="C133" t="s">
        <v>162</v>
      </c>
      <c r="D133" t="s">
        <v>163</v>
      </c>
      <c r="E133" t="s">
        <v>22</v>
      </c>
      <c r="F133" t="s">
        <v>18</v>
      </c>
      <c r="G133" t="s">
        <v>63</v>
      </c>
      <c r="H133" t="s">
        <v>46</v>
      </c>
      <c r="I133">
        <v>9</v>
      </c>
      <c r="J133" s="7">
        <v>8800</v>
      </c>
      <c r="K133" s="7">
        <v>79200</v>
      </c>
      <c r="L133" s="7">
        <v>49104</v>
      </c>
      <c r="M133" s="7">
        <v>30096</v>
      </c>
      <c r="N133" s="8">
        <v>0.38</v>
      </c>
    </row>
    <row r="134" spans="1:14" x14ac:dyDescent="0.25">
      <c r="A134" s="2" t="s">
        <v>178</v>
      </c>
      <c r="B134" s="3">
        <v>45404</v>
      </c>
      <c r="C134" s="2" t="s">
        <v>162</v>
      </c>
      <c r="D134" s="2" t="s">
        <v>163</v>
      </c>
      <c r="E134" s="2" t="s">
        <v>37</v>
      </c>
      <c r="F134" s="2" t="s">
        <v>18</v>
      </c>
      <c r="G134" s="2" t="s">
        <v>29</v>
      </c>
      <c r="H134" s="2" t="s">
        <v>30</v>
      </c>
      <c r="I134" s="2">
        <v>3</v>
      </c>
      <c r="J134" s="4">
        <v>2600</v>
      </c>
      <c r="K134" s="4">
        <v>7800</v>
      </c>
      <c r="L134" s="4">
        <v>3510</v>
      </c>
      <c r="M134" s="4">
        <v>4290</v>
      </c>
      <c r="N134" s="5">
        <v>0.55000000000000004</v>
      </c>
    </row>
    <row r="135" spans="1:14" x14ac:dyDescent="0.25">
      <c r="A135" t="s">
        <v>179</v>
      </c>
      <c r="B135" s="6">
        <v>45405</v>
      </c>
      <c r="C135" t="s">
        <v>162</v>
      </c>
      <c r="D135" t="s">
        <v>163</v>
      </c>
      <c r="E135" t="s">
        <v>37</v>
      </c>
      <c r="F135" t="s">
        <v>23</v>
      </c>
      <c r="G135" t="s">
        <v>34</v>
      </c>
      <c r="H135" t="s">
        <v>35</v>
      </c>
      <c r="I135">
        <v>5</v>
      </c>
      <c r="J135" s="7">
        <v>3800</v>
      </c>
      <c r="K135" s="7">
        <v>19000</v>
      </c>
      <c r="L135" s="7">
        <v>9120</v>
      </c>
      <c r="M135" s="7">
        <v>9880</v>
      </c>
      <c r="N135" s="8">
        <v>0.52</v>
      </c>
    </row>
    <row r="136" spans="1:14" x14ac:dyDescent="0.25">
      <c r="A136" s="2" t="s">
        <v>180</v>
      </c>
      <c r="B136" s="3">
        <v>45405</v>
      </c>
      <c r="C136" s="2" t="s">
        <v>162</v>
      </c>
      <c r="D136" s="2" t="s">
        <v>163</v>
      </c>
      <c r="E136" s="2" t="s">
        <v>37</v>
      </c>
      <c r="F136" s="2" t="s">
        <v>28</v>
      </c>
      <c r="G136" s="2" t="s">
        <v>38</v>
      </c>
      <c r="H136" s="2" t="s">
        <v>39</v>
      </c>
      <c r="I136" s="2">
        <v>8</v>
      </c>
      <c r="J136" s="4">
        <v>12700</v>
      </c>
      <c r="K136" s="4">
        <v>101600</v>
      </c>
      <c r="L136" s="4">
        <v>60960</v>
      </c>
      <c r="M136" s="4">
        <v>40640</v>
      </c>
      <c r="N136" s="5">
        <v>0.4</v>
      </c>
    </row>
    <row r="137" spans="1:14" x14ac:dyDescent="0.25">
      <c r="A137" t="s">
        <v>181</v>
      </c>
      <c r="B137" s="6">
        <v>45405</v>
      </c>
      <c r="C137" t="s">
        <v>162</v>
      </c>
      <c r="D137" t="s">
        <v>163</v>
      </c>
      <c r="E137" t="s">
        <v>27</v>
      </c>
      <c r="F137" t="s">
        <v>59</v>
      </c>
      <c r="G137" t="s">
        <v>29</v>
      </c>
      <c r="H137" t="s">
        <v>30</v>
      </c>
      <c r="I137">
        <v>8</v>
      </c>
      <c r="J137" s="7">
        <v>2800</v>
      </c>
      <c r="K137" s="7">
        <v>22400</v>
      </c>
      <c r="L137" s="7">
        <v>10080</v>
      </c>
      <c r="M137" s="7">
        <v>12320</v>
      </c>
      <c r="N137" s="8">
        <v>0.55000000000000004</v>
      </c>
    </row>
    <row r="138" spans="1:14" x14ac:dyDescent="0.25">
      <c r="A138" s="2" t="s">
        <v>182</v>
      </c>
      <c r="B138" s="3">
        <v>45405</v>
      </c>
      <c r="C138" s="2" t="s">
        <v>162</v>
      </c>
      <c r="D138" s="2" t="s">
        <v>163</v>
      </c>
      <c r="E138" s="2" t="s">
        <v>17</v>
      </c>
      <c r="F138" s="2" t="s">
        <v>23</v>
      </c>
      <c r="G138" s="2" t="s">
        <v>34</v>
      </c>
      <c r="H138" s="2" t="s">
        <v>35</v>
      </c>
      <c r="I138" s="2">
        <v>1</v>
      </c>
      <c r="J138" s="4">
        <v>3400</v>
      </c>
      <c r="K138" s="4">
        <v>3400</v>
      </c>
      <c r="L138" s="4">
        <v>1632</v>
      </c>
      <c r="M138" s="4">
        <v>1768</v>
      </c>
      <c r="N138" s="5">
        <v>0.52</v>
      </c>
    </row>
    <row r="139" spans="1:14" x14ac:dyDescent="0.25">
      <c r="A139" t="s">
        <v>183</v>
      </c>
      <c r="B139" s="6">
        <v>45406</v>
      </c>
      <c r="C139" t="s">
        <v>162</v>
      </c>
      <c r="D139" t="s">
        <v>163</v>
      </c>
      <c r="E139" t="s">
        <v>32</v>
      </c>
      <c r="F139" t="s">
        <v>42</v>
      </c>
      <c r="G139" t="s">
        <v>38</v>
      </c>
      <c r="H139" t="s">
        <v>39</v>
      </c>
      <c r="I139">
        <v>1</v>
      </c>
      <c r="J139" s="7">
        <v>13100</v>
      </c>
      <c r="K139" s="7">
        <v>13100</v>
      </c>
      <c r="L139" s="7">
        <v>7860</v>
      </c>
      <c r="M139" s="7">
        <v>5240</v>
      </c>
      <c r="N139" s="8">
        <v>0.4</v>
      </c>
    </row>
    <row r="140" spans="1:14" x14ac:dyDescent="0.25">
      <c r="A140" s="2" t="s">
        <v>184</v>
      </c>
      <c r="B140" s="3">
        <v>45407</v>
      </c>
      <c r="C140" s="2" t="s">
        <v>162</v>
      </c>
      <c r="D140" s="2" t="s">
        <v>163</v>
      </c>
      <c r="E140" s="2" t="s">
        <v>37</v>
      </c>
      <c r="F140" s="2" t="s">
        <v>42</v>
      </c>
      <c r="G140" s="2" t="s">
        <v>38</v>
      </c>
      <c r="H140" s="2" t="s">
        <v>39</v>
      </c>
      <c r="I140" s="2">
        <v>2</v>
      </c>
      <c r="J140" s="4">
        <v>12200</v>
      </c>
      <c r="K140" s="4">
        <v>24400</v>
      </c>
      <c r="L140" s="4">
        <v>14640</v>
      </c>
      <c r="M140" s="4">
        <v>9760</v>
      </c>
      <c r="N140" s="5">
        <v>0.4</v>
      </c>
    </row>
    <row r="141" spans="1:14" x14ac:dyDescent="0.25">
      <c r="A141" t="s">
        <v>185</v>
      </c>
      <c r="B141" s="6">
        <v>45408</v>
      </c>
      <c r="C141" t="s">
        <v>162</v>
      </c>
      <c r="D141" t="s">
        <v>163</v>
      </c>
      <c r="E141" t="s">
        <v>32</v>
      </c>
      <c r="F141" t="s">
        <v>59</v>
      </c>
      <c r="G141" t="s">
        <v>19</v>
      </c>
      <c r="H141" t="s">
        <v>20</v>
      </c>
      <c r="I141">
        <v>4</v>
      </c>
      <c r="J141" s="7">
        <v>5700</v>
      </c>
      <c r="K141" s="7">
        <v>22800</v>
      </c>
      <c r="L141" s="7">
        <v>12540</v>
      </c>
      <c r="M141" s="7">
        <v>10260</v>
      </c>
      <c r="N141" s="8">
        <v>0.45</v>
      </c>
    </row>
    <row r="142" spans="1:14" x14ac:dyDescent="0.25">
      <c r="A142" s="2" t="s">
        <v>186</v>
      </c>
      <c r="B142" s="3">
        <v>45408</v>
      </c>
      <c r="C142" s="2" t="s">
        <v>162</v>
      </c>
      <c r="D142" s="2" t="s">
        <v>163</v>
      </c>
      <c r="E142" s="2" t="s">
        <v>22</v>
      </c>
      <c r="F142" s="2" t="s">
        <v>28</v>
      </c>
      <c r="G142" s="2" t="s">
        <v>29</v>
      </c>
      <c r="H142" s="2" t="s">
        <v>30</v>
      </c>
      <c r="I142" s="2">
        <v>4</v>
      </c>
      <c r="J142" s="4">
        <v>2300</v>
      </c>
      <c r="K142" s="4">
        <v>9200</v>
      </c>
      <c r="L142" s="4">
        <v>4140</v>
      </c>
      <c r="M142" s="4">
        <v>5060</v>
      </c>
      <c r="N142" s="5">
        <v>0.55000000000000004</v>
      </c>
    </row>
    <row r="143" spans="1:14" x14ac:dyDescent="0.25">
      <c r="A143" t="s">
        <v>187</v>
      </c>
      <c r="B143" s="6">
        <v>45409</v>
      </c>
      <c r="C143" t="s">
        <v>162</v>
      </c>
      <c r="D143" t="s">
        <v>163</v>
      </c>
      <c r="E143" t="s">
        <v>22</v>
      </c>
      <c r="F143" t="s">
        <v>28</v>
      </c>
      <c r="G143" t="s">
        <v>29</v>
      </c>
      <c r="H143" t="s">
        <v>30</v>
      </c>
      <c r="I143">
        <v>10</v>
      </c>
      <c r="J143" s="7">
        <v>2800</v>
      </c>
      <c r="K143" s="7">
        <v>28000</v>
      </c>
      <c r="L143" s="7">
        <v>12600</v>
      </c>
      <c r="M143" s="7">
        <v>15400</v>
      </c>
      <c r="N143" s="8">
        <v>0.55000000000000004</v>
      </c>
    </row>
    <row r="144" spans="1:14" x14ac:dyDescent="0.25">
      <c r="A144" s="2" t="s">
        <v>188</v>
      </c>
      <c r="B144" s="3">
        <v>45410</v>
      </c>
      <c r="C144" s="2" t="s">
        <v>162</v>
      </c>
      <c r="D144" s="2" t="s">
        <v>163</v>
      </c>
      <c r="E144" s="2" t="s">
        <v>32</v>
      </c>
      <c r="F144" s="2" t="s">
        <v>33</v>
      </c>
      <c r="G144" s="2" t="s">
        <v>19</v>
      </c>
      <c r="H144" s="2" t="s">
        <v>20</v>
      </c>
      <c r="I144" s="2">
        <v>8</v>
      </c>
      <c r="J144" s="4">
        <v>5400</v>
      </c>
      <c r="K144" s="4">
        <v>43200</v>
      </c>
      <c r="L144" s="4">
        <v>23760</v>
      </c>
      <c r="M144" s="4">
        <v>19440</v>
      </c>
      <c r="N144" s="5">
        <v>0.45</v>
      </c>
    </row>
    <row r="145" spans="1:14" x14ac:dyDescent="0.25">
      <c r="A145" t="s">
        <v>189</v>
      </c>
      <c r="B145" s="6">
        <v>45410</v>
      </c>
      <c r="C145" t="s">
        <v>162</v>
      </c>
      <c r="D145" t="s">
        <v>163</v>
      </c>
      <c r="E145" t="s">
        <v>22</v>
      </c>
      <c r="F145" t="s">
        <v>42</v>
      </c>
      <c r="G145" t="s">
        <v>50</v>
      </c>
      <c r="H145" t="s">
        <v>46</v>
      </c>
      <c r="I145">
        <v>3</v>
      </c>
      <c r="J145" s="7">
        <v>28200</v>
      </c>
      <c r="K145" s="7">
        <v>84600</v>
      </c>
      <c r="L145" s="7">
        <v>54990</v>
      </c>
      <c r="M145" s="7">
        <v>29610</v>
      </c>
      <c r="N145" s="8">
        <v>0.35</v>
      </c>
    </row>
    <row r="146" spans="1:14" x14ac:dyDescent="0.25">
      <c r="A146" s="2" t="s">
        <v>190</v>
      </c>
      <c r="B146" s="3">
        <v>45411</v>
      </c>
      <c r="C146" s="2" t="s">
        <v>162</v>
      </c>
      <c r="D146" s="2" t="s">
        <v>163</v>
      </c>
      <c r="E146" s="2" t="s">
        <v>37</v>
      </c>
      <c r="F146" s="2" t="s">
        <v>42</v>
      </c>
      <c r="G146" s="2" t="s">
        <v>19</v>
      </c>
      <c r="H146" s="2" t="s">
        <v>20</v>
      </c>
      <c r="I146" s="2">
        <v>10</v>
      </c>
      <c r="J146" s="4">
        <v>5500</v>
      </c>
      <c r="K146" s="4">
        <v>55000</v>
      </c>
      <c r="L146" s="4">
        <v>30250</v>
      </c>
      <c r="M146" s="4">
        <v>24750</v>
      </c>
      <c r="N146" s="5">
        <v>0.45</v>
      </c>
    </row>
    <row r="147" spans="1:14" x14ac:dyDescent="0.25">
      <c r="A147" t="s">
        <v>191</v>
      </c>
      <c r="B147" s="6">
        <v>45411</v>
      </c>
      <c r="C147" t="s">
        <v>162</v>
      </c>
      <c r="D147" t="s">
        <v>163</v>
      </c>
      <c r="E147" t="s">
        <v>37</v>
      </c>
      <c r="F147" t="s">
        <v>59</v>
      </c>
      <c r="G147" t="s">
        <v>34</v>
      </c>
      <c r="H147" t="s">
        <v>35</v>
      </c>
      <c r="I147">
        <v>8</v>
      </c>
      <c r="J147" s="7">
        <v>3200</v>
      </c>
      <c r="K147" s="7">
        <v>25600</v>
      </c>
      <c r="L147" s="7">
        <v>12288</v>
      </c>
      <c r="M147" s="7">
        <v>13312</v>
      </c>
      <c r="N147" s="8">
        <v>0.52</v>
      </c>
    </row>
    <row r="148" spans="1:14" x14ac:dyDescent="0.25">
      <c r="A148" s="2" t="s">
        <v>192</v>
      </c>
      <c r="B148" s="3">
        <v>45411</v>
      </c>
      <c r="C148" s="2" t="s">
        <v>162</v>
      </c>
      <c r="D148" s="2" t="s">
        <v>163</v>
      </c>
      <c r="E148" s="2" t="s">
        <v>54</v>
      </c>
      <c r="F148" s="2" t="s">
        <v>23</v>
      </c>
      <c r="G148" s="2" t="s">
        <v>45</v>
      </c>
      <c r="H148" s="2" t="s">
        <v>46</v>
      </c>
      <c r="I148" s="2">
        <v>9</v>
      </c>
      <c r="J148" s="4">
        <v>8200</v>
      </c>
      <c r="K148" s="4">
        <v>73800</v>
      </c>
      <c r="L148" s="4">
        <v>44280</v>
      </c>
      <c r="M148" s="4">
        <v>29520</v>
      </c>
      <c r="N148" s="5">
        <v>0.4</v>
      </c>
    </row>
    <row r="149" spans="1:14" x14ac:dyDescent="0.25">
      <c r="A149" t="s">
        <v>193</v>
      </c>
      <c r="B149" s="6">
        <v>45411</v>
      </c>
      <c r="C149" t="s">
        <v>162</v>
      </c>
      <c r="D149" t="s">
        <v>163</v>
      </c>
      <c r="E149" t="s">
        <v>37</v>
      </c>
      <c r="F149" t="s">
        <v>59</v>
      </c>
      <c r="G149" t="s">
        <v>50</v>
      </c>
      <c r="H149" t="s">
        <v>46</v>
      </c>
      <c r="I149">
        <v>6</v>
      </c>
      <c r="J149" s="7">
        <v>23100</v>
      </c>
      <c r="K149" s="7">
        <v>138600</v>
      </c>
      <c r="L149" s="7">
        <v>90090</v>
      </c>
      <c r="M149" s="7">
        <v>48510</v>
      </c>
      <c r="N149" s="8">
        <v>0.35</v>
      </c>
    </row>
    <row r="150" spans="1:14" x14ac:dyDescent="0.25">
      <c r="A150" s="2" t="s">
        <v>194</v>
      </c>
      <c r="B150" s="3">
        <v>45412</v>
      </c>
      <c r="C150" s="2" t="s">
        <v>162</v>
      </c>
      <c r="D150" s="2" t="s">
        <v>163</v>
      </c>
      <c r="E150" s="2" t="s">
        <v>27</v>
      </c>
      <c r="F150" s="2" t="s">
        <v>18</v>
      </c>
      <c r="G150" s="2" t="s">
        <v>19</v>
      </c>
      <c r="H150" s="2" t="s">
        <v>20</v>
      </c>
      <c r="I150" s="2">
        <v>4</v>
      </c>
      <c r="J150" s="4">
        <v>4800</v>
      </c>
      <c r="K150" s="4">
        <v>19200</v>
      </c>
      <c r="L150" s="4">
        <v>10560</v>
      </c>
      <c r="M150" s="4">
        <v>8640</v>
      </c>
      <c r="N150" s="5">
        <v>0.45</v>
      </c>
    </row>
    <row r="151" spans="1:14" x14ac:dyDescent="0.25">
      <c r="A151" t="s">
        <v>195</v>
      </c>
      <c r="B151" s="6">
        <v>45412</v>
      </c>
      <c r="C151" t="s">
        <v>162</v>
      </c>
      <c r="D151" t="s">
        <v>163</v>
      </c>
      <c r="E151" t="s">
        <v>17</v>
      </c>
      <c r="F151" t="s">
        <v>33</v>
      </c>
      <c r="G151" t="s">
        <v>24</v>
      </c>
      <c r="H151" t="s">
        <v>25</v>
      </c>
      <c r="I151">
        <v>6</v>
      </c>
      <c r="J151" s="7">
        <v>13900</v>
      </c>
      <c r="K151" s="7">
        <v>83400</v>
      </c>
      <c r="L151" s="7">
        <v>48372</v>
      </c>
      <c r="M151" s="7">
        <v>35028</v>
      </c>
      <c r="N151" s="8">
        <v>0.42</v>
      </c>
    </row>
    <row r="152" spans="1:14" x14ac:dyDescent="0.25">
      <c r="A152" s="2" t="s">
        <v>196</v>
      </c>
      <c r="B152" s="3">
        <v>45412</v>
      </c>
      <c r="C152" s="2" t="s">
        <v>162</v>
      </c>
      <c r="D152" s="2" t="s">
        <v>163</v>
      </c>
      <c r="E152" s="2" t="s">
        <v>54</v>
      </c>
      <c r="F152" s="2" t="s">
        <v>23</v>
      </c>
      <c r="G152" s="2" t="s">
        <v>45</v>
      </c>
      <c r="H152" s="2" t="s">
        <v>46</v>
      </c>
      <c r="I152" s="2">
        <v>6</v>
      </c>
      <c r="J152" s="4">
        <v>9800</v>
      </c>
      <c r="K152" s="4">
        <v>58800</v>
      </c>
      <c r="L152" s="4">
        <v>35280</v>
      </c>
      <c r="M152" s="4">
        <v>23520</v>
      </c>
      <c r="N152" s="5">
        <v>0.4</v>
      </c>
    </row>
    <row r="153" spans="1:14" x14ac:dyDescent="0.25">
      <c r="A153" t="s">
        <v>197</v>
      </c>
      <c r="B153" s="6">
        <v>45413</v>
      </c>
      <c r="C153" t="s">
        <v>198</v>
      </c>
      <c r="D153" t="s">
        <v>163</v>
      </c>
      <c r="E153" t="s">
        <v>27</v>
      </c>
      <c r="F153" t="s">
        <v>59</v>
      </c>
      <c r="G153" t="s">
        <v>63</v>
      </c>
      <c r="H153" t="s">
        <v>46</v>
      </c>
      <c r="I153">
        <v>8</v>
      </c>
      <c r="J153" s="7">
        <v>8000</v>
      </c>
      <c r="K153" s="7">
        <v>64000</v>
      </c>
      <c r="L153" s="7">
        <v>39680</v>
      </c>
      <c r="M153" s="7">
        <v>24320</v>
      </c>
      <c r="N153" s="8">
        <v>0.38</v>
      </c>
    </row>
    <row r="154" spans="1:14" x14ac:dyDescent="0.25">
      <c r="A154" s="2" t="s">
        <v>199</v>
      </c>
      <c r="B154" s="3">
        <v>45414</v>
      </c>
      <c r="C154" s="2" t="s">
        <v>198</v>
      </c>
      <c r="D154" s="2" t="s">
        <v>163</v>
      </c>
      <c r="E154" s="2" t="s">
        <v>32</v>
      </c>
      <c r="F154" s="2" t="s">
        <v>18</v>
      </c>
      <c r="G154" s="2" t="s">
        <v>50</v>
      </c>
      <c r="H154" s="2" t="s">
        <v>46</v>
      </c>
      <c r="I154" s="2">
        <v>10</v>
      </c>
      <c r="J154" s="4">
        <v>24000</v>
      </c>
      <c r="K154" s="4">
        <v>240000</v>
      </c>
      <c r="L154" s="4">
        <v>156000</v>
      </c>
      <c r="M154" s="4">
        <v>84000</v>
      </c>
      <c r="N154" s="5">
        <v>0.35</v>
      </c>
    </row>
    <row r="155" spans="1:14" x14ac:dyDescent="0.25">
      <c r="A155" t="s">
        <v>200</v>
      </c>
      <c r="B155" s="6">
        <v>45414</v>
      </c>
      <c r="C155" t="s">
        <v>198</v>
      </c>
      <c r="D155" t="s">
        <v>163</v>
      </c>
      <c r="E155" t="s">
        <v>27</v>
      </c>
      <c r="F155" t="s">
        <v>33</v>
      </c>
      <c r="G155" t="s">
        <v>29</v>
      </c>
      <c r="H155" t="s">
        <v>30</v>
      </c>
      <c r="I155">
        <v>9</v>
      </c>
      <c r="J155" s="7">
        <v>2300</v>
      </c>
      <c r="K155" s="7">
        <v>20700</v>
      </c>
      <c r="L155" s="7">
        <v>9315</v>
      </c>
      <c r="M155" s="7">
        <v>11385</v>
      </c>
      <c r="N155" s="8">
        <v>0.55000000000000004</v>
      </c>
    </row>
    <row r="156" spans="1:14" x14ac:dyDescent="0.25">
      <c r="A156" s="2" t="s">
        <v>201</v>
      </c>
      <c r="B156" s="3">
        <v>45415</v>
      </c>
      <c r="C156" s="2" t="s">
        <v>198</v>
      </c>
      <c r="D156" s="2" t="s">
        <v>163</v>
      </c>
      <c r="E156" s="2" t="s">
        <v>37</v>
      </c>
      <c r="F156" s="2" t="s">
        <v>59</v>
      </c>
      <c r="G156" s="2" t="s">
        <v>34</v>
      </c>
      <c r="H156" s="2" t="s">
        <v>35</v>
      </c>
      <c r="I156" s="2">
        <v>4</v>
      </c>
      <c r="J156" s="4">
        <v>3600</v>
      </c>
      <c r="K156" s="4">
        <v>14400</v>
      </c>
      <c r="L156" s="4">
        <v>6912</v>
      </c>
      <c r="M156" s="4">
        <v>7488</v>
      </c>
      <c r="N156" s="5">
        <v>0.52</v>
      </c>
    </row>
    <row r="157" spans="1:14" x14ac:dyDescent="0.25">
      <c r="A157" t="s">
        <v>202</v>
      </c>
      <c r="B157" s="6">
        <v>45415</v>
      </c>
      <c r="C157" t="s">
        <v>198</v>
      </c>
      <c r="D157" t="s">
        <v>163</v>
      </c>
      <c r="E157" t="s">
        <v>22</v>
      </c>
      <c r="F157" t="s">
        <v>18</v>
      </c>
      <c r="G157" t="s">
        <v>29</v>
      </c>
      <c r="H157" t="s">
        <v>30</v>
      </c>
      <c r="I157">
        <v>3</v>
      </c>
      <c r="J157" s="7">
        <v>2400</v>
      </c>
      <c r="K157" s="7">
        <v>7200</v>
      </c>
      <c r="L157" s="7">
        <v>3240</v>
      </c>
      <c r="M157" s="7">
        <v>3960</v>
      </c>
      <c r="N157" s="8">
        <v>0.55000000000000004</v>
      </c>
    </row>
    <row r="158" spans="1:14" x14ac:dyDescent="0.25">
      <c r="A158" s="2" t="s">
        <v>203</v>
      </c>
      <c r="B158" s="3">
        <v>45416</v>
      </c>
      <c r="C158" s="2" t="s">
        <v>198</v>
      </c>
      <c r="D158" s="2" t="s">
        <v>163</v>
      </c>
      <c r="E158" s="2" t="s">
        <v>32</v>
      </c>
      <c r="F158" s="2" t="s">
        <v>59</v>
      </c>
      <c r="G158" s="2" t="s">
        <v>63</v>
      </c>
      <c r="H158" s="2" t="s">
        <v>46</v>
      </c>
      <c r="I158" s="2">
        <v>1</v>
      </c>
      <c r="J158" s="4">
        <v>8500</v>
      </c>
      <c r="K158" s="4">
        <v>8500</v>
      </c>
      <c r="L158" s="4">
        <v>5270</v>
      </c>
      <c r="M158" s="4">
        <v>3230</v>
      </c>
      <c r="N158" s="5">
        <v>0.38</v>
      </c>
    </row>
    <row r="159" spans="1:14" x14ac:dyDescent="0.25">
      <c r="A159" t="s">
        <v>204</v>
      </c>
      <c r="B159" s="6">
        <v>45416</v>
      </c>
      <c r="C159" t="s">
        <v>198</v>
      </c>
      <c r="D159" t="s">
        <v>163</v>
      </c>
      <c r="E159" t="s">
        <v>17</v>
      </c>
      <c r="F159" t="s">
        <v>28</v>
      </c>
      <c r="G159" t="s">
        <v>29</v>
      </c>
      <c r="H159" t="s">
        <v>30</v>
      </c>
      <c r="I159">
        <v>4</v>
      </c>
      <c r="J159" s="7">
        <v>2500</v>
      </c>
      <c r="K159" s="7">
        <v>10000</v>
      </c>
      <c r="L159" s="7">
        <v>4500</v>
      </c>
      <c r="M159" s="7">
        <v>5500</v>
      </c>
      <c r="N159" s="8">
        <v>0.55000000000000004</v>
      </c>
    </row>
    <row r="160" spans="1:14" x14ac:dyDescent="0.25">
      <c r="A160" s="2" t="s">
        <v>205</v>
      </c>
      <c r="B160" s="3">
        <v>45417</v>
      </c>
      <c r="C160" s="2" t="s">
        <v>198</v>
      </c>
      <c r="D160" s="2" t="s">
        <v>163</v>
      </c>
      <c r="E160" s="2" t="s">
        <v>27</v>
      </c>
      <c r="F160" s="2" t="s">
        <v>59</v>
      </c>
      <c r="G160" s="2" t="s">
        <v>38</v>
      </c>
      <c r="H160" s="2" t="s">
        <v>39</v>
      </c>
      <c r="I160" s="2">
        <v>8</v>
      </c>
      <c r="J160" s="4">
        <v>11600</v>
      </c>
      <c r="K160" s="4">
        <v>92800</v>
      </c>
      <c r="L160" s="4">
        <v>55680</v>
      </c>
      <c r="M160" s="4">
        <v>37120</v>
      </c>
      <c r="N160" s="5">
        <v>0.4</v>
      </c>
    </row>
    <row r="161" spans="1:14" x14ac:dyDescent="0.25">
      <c r="A161" t="s">
        <v>206</v>
      </c>
      <c r="B161" s="6">
        <v>45418</v>
      </c>
      <c r="C161" t="s">
        <v>198</v>
      </c>
      <c r="D161" t="s">
        <v>163</v>
      </c>
      <c r="E161" t="s">
        <v>22</v>
      </c>
      <c r="F161" t="s">
        <v>23</v>
      </c>
      <c r="G161" t="s">
        <v>63</v>
      </c>
      <c r="H161" t="s">
        <v>46</v>
      </c>
      <c r="I161">
        <v>5</v>
      </c>
      <c r="J161" s="7">
        <v>7400</v>
      </c>
      <c r="K161" s="7">
        <v>37000</v>
      </c>
      <c r="L161" s="7">
        <v>22940</v>
      </c>
      <c r="M161" s="7">
        <v>14060</v>
      </c>
      <c r="N161" s="8">
        <v>0.38</v>
      </c>
    </row>
    <row r="162" spans="1:14" x14ac:dyDescent="0.25">
      <c r="A162" s="2" t="s">
        <v>207</v>
      </c>
      <c r="B162" s="3">
        <v>45418</v>
      </c>
      <c r="C162" s="2" t="s">
        <v>198</v>
      </c>
      <c r="D162" s="2" t="s">
        <v>163</v>
      </c>
      <c r="E162" s="2" t="s">
        <v>22</v>
      </c>
      <c r="F162" s="2" t="s">
        <v>18</v>
      </c>
      <c r="G162" s="2" t="s">
        <v>45</v>
      </c>
      <c r="H162" s="2" t="s">
        <v>46</v>
      </c>
      <c r="I162" s="2">
        <v>4</v>
      </c>
      <c r="J162" s="4">
        <v>9400</v>
      </c>
      <c r="K162" s="4">
        <v>37600</v>
      </c>
      <c r="L162" s="4">
        <v>22560</v>
      </c>
      <c r="M162" s="4">
        <v>15040</v>
      </c>
      <c r="N162" s="5">
        <v>0.4</v>
      </c>
    </row>
    <row r="163" spans="1:14" x14ac:dyDescent="0.25">
      <c r="A163" t="s">
        <v>208</v>
      </c>
      <c r="B163" s="6">
        <v>45419</v>
      </c>
      <c r="C163" t="s">
        <v>198</v>
      </c>
      <c r="D163" t="s">
        <v>163</v>
      </c>
      <c r="E163" t="s">
        <v>22</v>
      </c>
      <c r="F163" t="s">
        <v>18</v>
      </c>
      <c r="G163" t="s">
        <v>19</v>
      </c>
      <c r="H163" t="s">
        <v>20</v>
      </c>
      <c r="I163">
        <v>2</v>
      </c>
      <c r="J163" s="7">
        <v>4700</v>
      </c>
      <c r="K163" s="7">
        <v>9400</v>
      </c>
      <c r="L163" s="7">
        <v>5170</v>
      </c>
      <c r="M163" s="7">
        <v>4230</v>
      </c>
      <c r="N163" s="8">
        <v>0.45</v>
      </c>
    </row>
    <row r="164" spans="1:14" x14ac:dyDescent="0.25">
      <c r="A164" s="2" t="s">
        <v>209</v>
      </c>
      <c r="B164" s="3">
        <v>45419</v>
      </c>
      <c r="C164" s="2" t="s">
        <v>198</v>
      </c>
      <c r="D164" s="2" t="s">
        <v>163</v>
      </c>
      <c r="E164" s="2" t="s">
        <v>17</v>
      </c>
      <c r="F164" s="2" t="s">
        <v>23</v>
      </c>
      <c r="G164" s="2" t="s">
        <v>38</v>
      </c>
      <c r="H164" s="2" t="s">
        <v>39</v>
      </c>
      <c r="I164" s="2">
        <v>7</v>
      </c>
      <c r="J164" s="4">
        <v>12500</v>
      </c>
      <c r="K164" s="4">
        <v>87500</v>
      </c>
      <c r="L164" s="4">
        <v>52500</v>
      </c>
      <c r="M164" s="4">
        <v>35000</v>
      </c>
      <c r="N164" s="5">
        <v>0.4</v>
      </c>
    </row>
    <row r="165" spans="1:14" x14ac:dyDescent="0.25">
      <c r="A165" t="s">
        <v>210</v>
      </c>
      <c r="B165" s="6">
        <v>45420</v>
      </c>
      <c r="C165" t="s">
        <v>198</v>
      </c>
      <c r="D165" t="s">
        <v>163</v>
      </c>
      <c r="E165" t="s">
        <v>54</v>
      </c>
      <c r="F165" t="s">
        <v>18</v>
      </c>
      <c r="G165" t="s">
        <v>29</v>
      </c>
      <c r="H165" t="s">
        <v>30</v>
      </c>
      <c r="I165">
        <v>4</v>
      </c>
      <c r="J165" s="7">
        <v>2300</v>
      </c>
      <c r="K165" s="7">
        <v>9200</v>
      </c>
      <c r="L165" s="7">
        <v>4140</v>
      </c>
      <c r="M165" s="7">
        <v>5060</v>
      </c>
      <c r="N165" s="8">
        <v>0.55000000000000004</v>
      </c>
    </row>
    <row r="166" spans="1:14" x14ac:dyDescent="0.25">
      <c r="A166" s="2" t="s">
        <v>211</v>
      </c>
      <c r="B166" s="3">
        <v>45420</v>
      </c>
      <c r="C166" s="2" t="s">
        <v>198</v>
      </c>
      <c r="D166" s="2" t="s">
        <v>163</v>
      </c>
      <c r="E166" s="2" t="s">
        <v>27</v>
      </c>
      <c r="F166" s="2" t="s">
        <v>18</v>
      </c>
      <c r="G166" s="2" t="s">
        <v>63</v>
      </c>
      <c r="H166" s="2" t="s">
        <v>46</v>
      </c>
      <c r="I166" s="2">
        <v>1</v>
      </c>
      <c r="J166" s="4">
        <v>7400</v>
      </c>
      <c r="K166" s="4">
        <v>7400</v>
      </c>
      <c r="L166" s="4">
        <v>4588</v>
      </c>
      <c r="M166" s="4">
        <v>2812</v>
      </c>
      <c r="N166" s="5">
        <v>0.38</v>
      </c>
    </row>
    <row r="167" spans="1:14" x14ac:dyDescent="0.25">
      <c r="A167" t="s">
        <v>212</v>
      </c>
      <c r="B167" s="6">
        <v>45420</v>
      </c>
      <c r="C167" t="s">
        <v>198</v>
      </c>
      <c r="D167" t="s">
        <v>163</v>
      </c>
      <c r="E167" t="s">
        <v>54</v>
      </c>
      <c r="F167" t="s">
        <v>42</v>
      </c>
      <c r="G167" t="s">
        <v>29</v>
      </c>
      <c r="H167" t="s">
        <v>30</v>
      </c>
      <c r="I167">
        <v>9</v>
      </c>
      <c r="J167" s="7">
        <v>2600</v>
      </c>
      <c r="K167" s="7">
        <v>23400</v>
      </c>
      <c r="L167" s="7">
        <v>10530</v>
      </c>
      <c r="M167" s="7">
        <v>12870</v>
      </c>
      <c r="N167" s="8">
        <v>0.55000000000000004</v>
      </c>
    </row>
    <row r="168" spans="1:14" x14ac:dyDescent="0.25">
      <c r="A168" s="2" t="s">
        <v>213</v>
      </c>
      <c r="B168" s="3">
        <v>45421</v>
      </c>
      <c r="C168" s="2" t="s">
        <v>198</v>
      </c>
      <c r="D168" s="2" t="s">
        <v>163</v>
      </c>
      <c r="E168" s="2" t="s">
        <v>32</v>
      </c>
      <c r="F168" s="2" t="s">
        <v>28</v>
      </c>
      <c r="G168" s="2" t="s">
        <v>38</v>
      </c>
      <c r="H168" s="2" t="s">
        <v>39</v>
      </c>
      <c r="I168" s="2">
        <v>9</v>
      </c>
      <c r="J168" s="4">
        <v>12200</v>
      </c>
      <c r="K168" s="4">
        <v>109800</v>
      </c>
      <c r="L168" s="4">
        <v>65880</v>
      </c>
      <c r="M168" s="4">
        <v>43920</v>
      </c>
      <c r="N168" s="5">
        <v>0.4</v>
      </c>
    </row>
    <row r="169" spans="1:14" x14ac:dyDescent="0.25">
      <c r="A169" t="s">
        <v>214</v>
      </c>
      <c r="B169" s="6">
        <v>45423</v>
      </c>
      <c r="C169" t="s">
        <v>198</v>
      </c>
      <c r="D169" t="s">
        <v>163</v>
      </c>
      <c r="E169" t="s">
        <v>37</v>
      </c>
      <c r="F169" t="s">
        <v>33</v>
      </c>
      <c r="G169" t="s">
        <v>24</v>
      </c>
      <c r="H169" t="s">
        <v>25</v>
      </c>
      <c r="I169">
        <v>10</v>
      </c>
      <c r="J169" s="7">
        <v>14100</v>
      </c>
      <c r="K169" s="7">
        <v>141000</v>
      </c>
      <c r="L169" s="7">
        <v>81780</v>
      </c>
      <c r="M169" s="7">
        <v>59220</v>
      </c>
      <c r="N169" s="8">
        <v>0.42</v>
      </c>
    </row>
    <row r="170" spans="1:14" x14ac:dyDescent="0.25">
      <c r="A170" s="2" t="s">
        <v>215</v>
      </c>
      <c r="B170" s="3">
        <v>45423</v>
      </c>
      <c r="C170" s="2" t="s">
        <v>198</v>
      </c>
      <c r="D170" s="2" t="s">
        <v>163</v>
      </c>
      <c r="E170" s="2" t="s">
        <v>37</v>
      </c>
      <c r="F170" s="2" t="s">
        <v>23</v>
      </c>
      <c r="G170" s="2" t="s">
        <v>29</v>
      </c>
      <c r="H170" s="2" t="s">
        <v>30</v>
      </c>
      <c r="I170" s="2">
        <v>9</v>
      </c>
      <c r="J170" s="4">
        <v>2800</v>
      </c>
      <c r="K170" s="4">
        <v>25200</v>
      </c>
      <c r="L170" s="4">
        <v>11340</v>
      </c>
      <c r="M170" s="4">
        <v>13860</v>
      </c>
      <c r="N170" s="5">
        <v>0.55000000000000004</v>
      </c>
    </row>
    <row r="171" spans="1:14" x14ac:dyDescent="0.25">
      <c r="A171" t="s">
        <v>216</v>
      </c>
      <c r="B171" s="6">
        <v>45428</v>
      </c>
      <c r="C171" t="s">
        <v>198</v>
      </c>
      <c r="D171" t="s">
        <v>163</v>
      </c>
      <c r="E171" t="s">
        <v>27</v>
      </c>
      <c r="F171" t="s">
        <v>59</v>
      </c>
      <c r="G171" t="s">
        <v>24</v>
      </c>
      <c r="H171" t="s">
        <v>25</v>
      </c>
      <c r="I171">
        <v>7</v>
      </c>
      <c r="J171" s="7">
        <v>13900</v>
      </c>
      <c r="K171" s="7">
        <v>97300</v>
      </c>
      <c r="L171" s="7">
        <v>56434</v>
      </c>
      <c r="M171" s="7">
        <v>40866</v>
      </c>
      <c r="N171" s="8">
        <v>0.42</v>
      </c>
    </row>
    <row r="172" spans="1:14" x14ac:dyDescent="0.25">
      <c r="A172" s="2" t="s">
        <v>217</v>
      </c>
      <c r="B172" s="3">
        <v>45431</v>
      </c>
      <c r="C172" s="2" t="s">
        <v>198</v>
      </c>
      <c r="D172" s="2" t="s">
        <v>163</v>
      </c>
      <c r="E172" s="2" t="s">
        <v>32</v>
      </c>
      <c r="F172" s="2" t="s">
        <v>42</v>
      </c>
      <c r="G172" s="2" t="s">
        <v>19</v>
      </c>
      <c r="H172" s="2" t="s">
        <v>20</v>
      </c>
      <c r="I172" s="2">
        <v>6</v>
      </c>
      <c r="J172" s="4">
        <v>5700</v>
      </c>
      <c r="K172" s="4">
        <v>34200</v>
      </c>
      <c r="L172" s="4">
        <v>18810</v>
      </c>
      <c r="M172" s="4">
        <v>15390</v>
      </c>
      <c r="N172" s="5">
        <v>0.45</v>
      </c>
    </row>
    <row r="173" spans="1:14" x14ac:dyDescent="0.25">
      <c r="A173" t="s">
        <v>218</v>
      </c>
      <c r="B173" s="6">
        <v>45431</v>
      </c>
      <c r="C173" t="s">
        <v>198</v>
      </c>
      <c r="D173" t="s">
        <v>163</v>
      </c>
      <c r="E173" t="s">
        <v>22</v>
      </c>
      <c r="F173" t="s">
        <v>33</v>
      </c>
      <c r="G173" t="s">
        <v>38</v>
      </c>
      <c r="H173" t="s">
        <v>39</v>
      </c>
      <c r="I173">
        <v>7</v>
      </c>
      <c r="J173" s="7">
        <v>13200</v>
      </c>
      <c r="K173" s="7">
        <v>92400</v>
      </c>
      <c r="L173" s="7">
        <v>55440</v>
      </c>
      <c r="M173" s="7">
        <v>36960</v>
      </c>
      <c r="N173" s="8">
        <v>0.4</v>
      </c>
    </row>
    <row r="174" spans="1:14" x14ac:dyDescent="0.25">
      <c r="A174" s="2" t="s">
        <v>219</v>
      </c>
      <c r="B174" s="3">
        <v>45431</v>
      </c>
      <c r="C174" s="2" t="s">
        <v>198</v>
      </c>
      <c r="D174" s="2" t="s">
        <v>163</v>
      </c>
      <c r="E174" s="2" t="s">
        <v>17</v>
      </c>
      <c r="F174" s="2" t="s">
        <v>59</v>
      </c>
      <c r="G174" s="2" t="s">
        <v>45</v>
      </c>
      <c r="H174" s="2" t="s">
        <v>46</v>
      </c>
      <c r="I174" s="2">
        <v>6</v>
      </c>
      <c r="J174" s="4">
        <v>9200</v>
      </c>
      <c r="K174" s="4">
        <v>55200</v>
      </c>
      <c r="L174" s="4">
        <v>33120</v>
      </c>
      <c r="M174" s="4">
        <v>22080</v>
      </c>
      <c r="N174" s="5">
        <v>0.4</v>
      </c>
    </row>
    <row r="175" spans="1:14" x14ac:dyDescent="0.25">
      <c r="A175" t="s">
        <v>220</v>
      </c>
      <c r="B175" s="6">
        <v>45432</v>
      </c>
      <c r="C175" t="s">
        <v>198</v>
      </c>
      <c r="D175" t="s">
        <v>163</v>
      </c>
      <c r="E175" t="s">
        <v>17</v>
      </c>
      <c r="F175" t="s">
        <v>28</v>
      </c>
      <c r="G175" t="s">
        <v>24</v>
      </c>
      <c r="H175" t="s">
        <v>25</v>
      </c>
      <c r="I175">
        <v>10</v>
      </c>
      <c r="J175" s="7">
        <v>14900</v>
      </c>
      <c r="K175" s="7">
        <v>149000</v>
      </c>
      <c r="L175" s="7">
        <v>86420</v>
      </c>
      <c r="M175" s="7">
        <v>62580</v>
      </c>
      <c r="N175" s="8">
        <v>0.42</v>
      </c>
    </row>
    <row r="176" spans="1:14" x14ac:dyDescent="0.25">
      <c r="A176" s="2" t="s">
        <v>221</v>
      </c>
      <c r="B176" s="3">
        <v>45433</v>
      </c>
      <c r="C176" s="2" t="s">
        <v>198</v>
      </c>
      <c r="D176" s="2" t="s">
        <v>163</v>
      </c>
      <c r="E176" s="2" t="s">
        <v>54</v>
      </c>
      <c r="F176" s="2" t="s">
        <v>28</v>
      </c>
      <c r="G176" s="2" t="s">
        <v>34</v>
      </c>
      <c r="H176" s="2" t="s">
        <v>35</v>
      </c>
      <c r="I176" s="2">
        <v>2</v>
      </c>
      <c r="J176" s="4">
        <v>3400</v>
      </c>
      <c r="K176" s="4">
        <v>6800</v>
      </c>
      <c r="L176" s="4">
        <v>3264</v>
      </c>
      <c r="M176" s="4">
        <v>3536</v>
      </c>
      <c r="N176" s="5">
        <v>0.52</v>
      </c>
    </row>
    <row r="177" spans="1:14" x14ac:dyDescent="0.25">
      <c r="A177" t="s">
        <v>222</v>
      </c>
      <c r="B177" s="6">
        <v>45434</v>
      </c>
      <c r="C177" t="s">
        <v>198</v>
      </c>
      <c r="D177" t="s">
        <v>163</v>
      </c>
      <c r="E177" t="s">
        <v>27</v>
      </c>
      <c r="F177" t="s">
        <v>28</v>
      </c>
      <c r="G177" t="s">
        <v>45</v>
      </c>
      <c r="H177" t="s">
        <v>46</v>
      </c>
      <c r="I177">
        <v>6</v>
      </c>
      <c r="J177" s="7">
        <v>9500</v>
      </c>
      <c r="K177" s="7">
        <v>57000</v>
      </c>
      <c r="L177" s="7">
        <v>34200</v>
      </c>
      <c r="M177" s="7">
        <v>22800</v>
      </c>
      <c r="N177" s="8">
        <v>0.4</v>
      </c>
    </row>
    <row r="178" spans="1:14" x14ac:dyDescent="0.25">
      <c r="A178" s="2" t="s">
        <v>223</v>
      </c>
      <c r="B178" s="3">
        <v>45434</v>
      </c>
      <c r="C178" s="2" t="s">
        <v>198</v>
      </c>
      <c r="D178" s="2" t="s">
        <v>163</v>
      </c>
      <c r="E178" s="2" t="s">
        <v>54</v>
      </c>
      <c r="F178" s="2" t="s">
        <v>33</v>
      </c>
      <c r="G178" s="2" t="s">
        <v>38</v>
      </c>
      <c r="H178" s="2" t="s">
        <v>39</v>
      </c>
      <c r="I178" s="2">
        <v>5</v>
      </c>
      <c r="J178" s="4">
        <v>13700</v>
      </c>
      <c r="K178" s="4">
        <v>68500</v>
      </c>
      <c r="L178" s="4">
        <v>41100</v>
      </c>
      <c r="M178" s="4">
        <v>27400</v>
      </c>
      <c r="N178" s="5">
        <v>0.4</v>
      </c>
    </row>
    <row r="179" spans="1:14" x14ac:dyDescent="0.25">
      <c r="A179" t="s">
        <v>224</v>
      </c>
      <c r="B179" s="6">
        <v>45434</v>
      </c>
      <c r="C179" t="s">
        <v>198</v>
      </c>
      <c r="D179" t="s">
        <v>163</v>
      </c>
      <c r="E179" t="s">
        <v>37</v>
      </c>
      <c r="F179" t="s">
        <v>42</v>
      </c>
      <c r="G179" t="s">
        <v>29</v>
      </c>
      <c r="H179" t="s">
        <v>30</v>
      </c>
      <c r="I179">
        <v>1</v>
      </c>
      <c r="J179" s="7">
        <v>2900</v>
      </c>
      <c r="K179" s="7">
        <v>2900</v>
      </c>
      <c r="L179" s="7">
        <v>1305</v>
      </c>
      <c r="M179" s="7">
        <v>1595</v>
      </c>
      <c r="N179" s="8">
        <v>0.55000000000000004</v>
      </c>
    </row>
    <row r="180" spans="1:14" x14ac:dyDescent="0.25">
      <c r="A180" s="2" t="s">
        <v>225</v>
      </c>
      <c r="B180" s="3">
        <v>45435</v>
      </c>
      <c r="C180" s="2" t="s">
        <v>198</v>
      </c>
      <c r="D180" s="2" t="s">
        <v>163</v>
      </c>
      <c r="E180" s="2" t="s">
        <v>22</v>
      </c>
      <c r="F180" s="2" t="s">
        <v>59</v>
      </c>
      <c r="G180" s="2" t="s">
        <v>50</v>
      </c>
      <c r="H180" s="2" t="s">
        <v>46</v>
      </c>
      <c r="I180" s="2">
        <v>4</v>
      </c>
      <c r="J180" s="4">
        <v>26800</v>
      </c>
      <c r="K180" s="4">
        <v>107200</v>
      </c>
      <c r="L180" s="4">
        <v>69680</v>
      </c>
      <c r="M180" s="4">
        <v>37520</v>
      </c>
      <c r="N180" s="5">
        <v>0.35</v>
      </c>
    </row>
    <row r="181" spans="1:14" x14ac:dyDescent="0.25">
      <c r="A181" t="s">
        <v>226</v>
      </c>
      <c r="B181" s="6">
        <v>45435</v>
      </c>
      <c r="C181" t="s">
        <v>198</v>
      </c>
      <c r="D181" t="s">
        <v>163</v>
      </c>
      <c r="E181" t="s">
        <v>27</v>
      </c>
      <c r="F181" t="s">
        <v>23</v>
      </c>
      <c r="G181" t="s">
        <v>34</v>
      </c>
      <c r="H181" t="s">
        <v>35</v>
      </c>
      <c r="I181">
        <v>10</v>
      </c>
      <c r="J181" s="7">
        <v>3500</v>
      </c>
      <c r="K181" s="7">
        <v>35000</v>
      </c>
      <c r="L181" s="7">
        <v>16800</v>
      </c>
      <c r="M181" s="7">
        <v>18200</v>
      </c>
      <c r="N181" s="8">
        <v>0.52</v>
      </c>
    </row>
    <row r="182" spans="1:14" x14ac:dyDescent="0.25">
      <c r="A182" s="2" t="s">
        <v>227</v>
      </c>
      <c r="B182" s="3">
        <v>45436</v>
      </c>
      <c r="C182" s="2" t="s">
        <v>198</v>
      </c>
      <c r="D182" s="2" t="s">
        <v>163</v>
      </c>
      <c r="E182" s="2" t="s">
        <v>27</v>
      </c>
      <c r="F182" s="2" t="s">
        <v>42</v>
      </c>
      <c r="G182" s="2" t="s">
        <v>34</v>
      </c>
      <c r="H182" s="2" t="s">
        <v>35</v>
      </c>
      <c r="I182" s="2">
        <v>7</v>
      </c>
      <c r="J182" s="4">
        <v>3600</v>
      </c>
      <c r="K182" s="4">
        <v>25200</v>
      </c>
      <c r="L182" s="4">
        <v>12096</v>
      </c>
      <c r="M182" s="4">
        <v>13104</v>
      </c>
      <c r="N182" s="5">
        <v>0.52</v>
      </c>
    </row>
    <row r="183" spans="1:14" x14ac:dyDescent="0.25">
      <c r="A183" t="s">
        <v>228</v>
      </c>
      <c r="B183" s="6">
        <v>45436</v>
      </c>
      <c r="C183" t="s">
        <v>198</v>
      </c>
      <c r="D183" t="s">
        <v>163</v>
      </c>
      <c r="E183" t="s">
        <v>54</v>
      </c>
      <c r="F183" t="s">
        <v>23</v>
      </c>
      <c r="G183" t="s">
        <v>45</v>
      </c>
      <c r="H183" t="s">
        <v>46</v>
      </c>
      <c r="I183">
        <v>8</v>
      </c>
      <c r="J183" s="7">
        <v>9400</v>
      </c>
      <c r="K183" s="7">
        <v>75200</v>
      </c>
      <c r="L183" s="7">
        <v>45120</v>
      </c>
      <c r="M183" s="7">
        <v>30080</v>
      </c>
      <c r="N183" s="8">
        <v>0.4</v>
      </c>
    </row>
    <row r="184" spans="1:14" x14ac:dyDescent="0.25">
      <c r="A184" s="2" t="s">
        <v>229</v>
      </c>
      <c r="B184" s="3">
        <v>45436</v>
      </c>
      <c r="C184" s="2" t="s">
        <v>198</v>
      </c>
      <c r="D184" s="2" t="s">
        <v>163</v>
      </c>
      <c r="E184" s="2" t="s">
        <v>54</v>
      </c>
      <c r="F184" s="2" t="s">
        <v>28</v>
      </c>
      <c r="G184" s="2" t="s">
        <v>34</v>
      </c>
      <c r="H184" s="2" t="s">
        <v>35</v>
      </c>
      <c r="I184" s="2">
        <v>6</v>
      </c>
      <c r="J184" s="4">
        <v>3600</v>
      </c>
      <c r="K184" s="4">
        <v>21600</v>
      </c>
      <c r="L184" s="4">
        <v>10368</v>
      </c>
      <c r="M184" s="4">
        <v>11232</v>
      </c>
      <c r="N184" s="5">
        <v>0.52</v>
      </c>
    </row>
    <row r="185" spans="1:14" x14ac:dyDescent="0.25">
      <c r="A185" t="s">
        <v>230</v>
      </c>
      <c r="B185" s="6">
        <v>45437</v>
      </c>
      <c r="C185" t="s">
        <v>198</v>
      </c>
      <c r="D185" t="s">
        <v>163</v>
      </c>
      <c r="E185" t="s">
        <v>54</v>
      </c>
      <c r="F185" t="s">
        <v>59</v>
      </c>
      <c r="G185" t="s">
        <v>45</v>
      </c>
      <c r="H185" t="s">
        <v>46</v>
      </c>
      <c r="I185">
        <v>4</v>
      </c>
      <c r="J185" s="7">
        <v>8600</v>
      </c>
      <c r="K185" s="7">
        <v>34400</v>
      </c>
      <c r="L185" s="7">
        <v>20640</v>
      </c>
      <c r="M185" s="7">
        <v>13760</v>
      </c>
      <c r="N185" s="8">
        <v>0.4</v>
      </c>
    </row>
    <row r="186" spans="1:14" x14ac:dyDescent="0.25">
      <c r="A186" s="2" t="s">
        <v>231</v>
      </c>
      <c r="B186" s="3">
        <v>45437</v>
      </c>
      <c r="C186" s="2" t="s">
        <v>198</v>
      </c>
      <c r="D186" s="2" t="s">
        <v>163</v>
      </c>
      <c r="E186" s="2" t="s">
        <v>17</v>
      </c>
      <c r="F186" s="2" t="s">
        <v>59</v>
      </c>
      <c r="G186" s="2" t="s">
        <v>45</v>
      </c>
      <c r="H186" s="2" t="s">
        <v>46</v>
      </c>
      <c r="I186" s="2">
        <v>9</v>
      </c>
      <c r="J186" s="4">
        <v>10300</v>
      </c>
      <c r="K186" s="4">
        <v>92700</v>
      </c>
      <c r="L186" s="4">
        <v>55620</v>
      </c>
      <c r="M186" s="4">
        <v>37080</v>
      </c>
      <c r="N186" s="5">
        <v>0.4</v>
      </c>
    </row>
    <row r="187" spans="1:14" x14ac:dyDescent="0.25">
      <c r="A187" t="s">
        <v>232</v>
      </c>
      <c r="B187" s="6">
        <v>45438</v>
      </c>
      <c r="C187" t="s">
        <v>198</v>
      </c>
      <c r="D187" t="s">
        <v>163</v>
      </c>
      <c r="E187" t="s">
        <v>37</v>
      </c>
      <c r="F187" t="s">
        <v>33</v>
      </c>
      <c r="G187" t="s">
        <v>34</v>
      </c>
      <c r="H187" t="s">
        <v>35</v>
      </c>
      <c r="I187">
        <v>9</v>
      </c>
      <c r="J187" s="7">
        <v>3800</v>
      </c>
      <c r="K187" s="7">
        <v>34200</v>
      </c>
      <c r="L187" s="7">
        <v>16416</v>
      </c>
      <c r="M187" s="7">
        <v>17784</v>
      </c>
      <c r="N187" s="8">
        <v>0.52</v>
      </c>
    </row>
    <row r="188" spans="1:14" x14ac:dyDescent="0.25">
      <c r="A188" s="2" t="s">
        <v>233</v>
      </c>
      <c r="B188" s="3">
        <v>45438</v>
      </c>
      <c r="C188" s="2" t="s">
        <v>198</v>
      </c>
      <c r="D188" s="2" t="s">
        <v>163</v>
      </c>
      <c r="E188" s="2" t="s">
        <v>37</v>
      </c>
      <c r="F188" s="2" t="s">
        <v>23</v>
      </c>
      <c r="G188" s="2" t="s">
        <v>50</v>
      </c>
      <c r="H188" s="2" t="s">
        <v>46</v>
      </c>
      <c r="I188" s="2">
        <v>2</v>
      </c>
      <c r="J188" s="4">
        <v>28200</v>
      </c>
      <c r="K188" s="4">
        <v>56400</v>
      </c>
      <c r="L188" s="4">
        <v>36660</v>
      </c>
      <c r="M188" s="4">
        <v>19740</v>
      </c>
      <c r="N188" s="5">
        <v>0.35</v>
      </c>
    </row>
    <row r="189" spans="1:14" x14ac:dyDescent="0.25">
      <c r="A189" t="s">
        <v>234</v>
      </c>
      <c r="B189" s="6">
        <v>45438</v>
      </c>
      <c r="C189" t="s">
        <v>198</v>
      </c>
      <c r="D189" t="s">
        <v>163</v>
      </c>
      <c r="E189" t="s">
        <v>37</v>
      </c>
      <c r="F189" t="s">
        <v>33</v>
      </c>
      <c r="G189" t="s">
        <v>34</v>
      </c>
      <c r="H189" t="s">
        <v>35</v>
      </c>
      <c r="I189">
        <v>3</v>
      </c>
      <c r="J189" s="7">
        <v>3300</v>
      </c>
      <c r="K189" s="7">
        <v>9900</v>
      </c>
      <c r="L189" s="7">
        <v>4752</v>
      </c>
      <c r="M189" s="7">
        <v>5148</v>
      </c>
      <c r="N189" s="8">
        <v>0.52</v>
      </c>
    </row>
    <row r="190" spans="1:14" x14ac:dyDescent="0.25">
      <c r="A190" s="2" t="s">
        <v>235</v>
      </c>
      <c r="B190" s="3">
        <v>45439</v>
      </c>
      <c r="C190" s="2" t="s">
        <v>198</v>
      </c>
      <c r="D190" s="2" t="s">
        <v>163</v>
      </c>
      <c r="E190" s="2" t="s">
        <v>17</v>
      </c>
      <c r="F190" s="2" t="s">
        <v>42</v>
      </c>
      <c r="G190" s="2" t="s">
        <v>19</v>
      </c>
      <c r="H190" s="2" t="s">
        <v>20</v>
      </c>
      <c r="I190" s="2">
        <v>10</v>
      </c>
      <c r="J190" s="4">
        <v>4900</v>
      </c>
      <c r="K190" s="4">
        <v>49000</v>
      </c>
      <c r="L190" s="4">
        <v>26950</v>
      </c>
      <c r="M190" s="4">
        <v>22050</v>
      </c>
      <c r="N190" s="5">
        <v>0.45</v>
      </c>
    </row>
    <row r="191" spans="1:14" x14ac:dyDescent="0.25">
      <c r="A191" t="s">
        <v>236</v>
      </c>
      <c r="B191" s="6">
        <v>45439</v>
      </c>
      <c r="C191" t="s">
        <v>198</v>
      </c>
      <c r="D191" t="s">
        <v>163</v>
      </c>
      <c r="E191" t="s">
        <v>54</v>
      </c>
      <c r="F191" t="s">
        <v>59</v>
      </c>
      <c r="G191" t="s">
        <v>29</v>
      </c>
      <c r="H191" t="s">
        <v>30</v>
      </c>
      <c r="I191">
        <v>8</v>
      </c>
      <c r="J191" s="7">
        <v>2700</v>
      </c>
      <c r="K191" s="7">
        <v>21600</v>
      </c>
      <c r="L191" s="7">
        <v>9720</v>
      </c>
      <c r="M191" s="7">
        <v>11880</v>
      </c>
      <c r="N191" s="8">
        <v>0.55000000000000004</v>
      </c>
    </row>
    <row r="192" spans="1:14" x14ac:dyDescent="0.25">
      <c r="A192" s="2" t="s">
        <v>237</v>
      </c>
      <c r="B192" s="3">
        <v>45439</v>
      </c>
      <c r="C192" s="2" t="s">
        <v>198</v>
      </c>
      <c r="D192" s="2" t="s">
        <v>163</v>
      </c>
      <c r="E192" s="2" t="s">
        <v>37</v>
      </c>
      <c r="F192" s="2" t="s">
        <v>28</v>
      </c>
      <c r="G192" s="2" t="s">
        <v>38</v>
      </c>
      <c r="H192" s="2" t="s">
        <v>39</v>
      </c>
      <c r="I192" s="2">
        <v>8</v>
      </c>
      <c r="J192" s="4">
        <v>11800</v>
      </c>
      <c r="K192" s="4">
        <v>94400</v>
      </c>
      <c r="L192" s="4">
        <v>56640</v>
      </c>
      <c r="M192" s="4">
        <v>37760</v>
      </c>
      <c r="N192" s="5">
        <v>0.4</v>
      </c>
    </row>
    <row r="193" spans="1:14" x14ac:dyDescent="0.25">
      <c r="A193" t="s">
        <v>238</v>
      </c>
      <c r="B193" s="6">
        <v>45440</v>
      </c>
      <c r="C193" t="s">
        <v>198</v>
      </c>
      <c r="D193" t="s">
        <v>163</v>
      </c>
      <c r="E193" t="s">
        <v>37</v>
      </c>
      <c r="F193" t="s">
        <v>59</v>
      </c>
      <c r="G193" t="s">
        <v>24</v>
      </c>
      <c r="H193" t="s">
        <v>25</v>
      </c>
      <c r="I193">
        <v>8</v>
      </c>
      <c r="J193" s="7">
        <v>13900</v>
      </c>
      <c r="K193" s="7">
        <v>111200</v>
      </c>
      <c r="L193" s="7">
        <v>64496</v>
      </c>
      <c r="M193" s="7">
        <v>46704</v>
      </c>
      <c r="N193" s="8">
        <v>0.42</v>
      </c>
    </row>
    <row r="194" spans="1:14" x14ac:dyDescent="0.25">
      <c r="A194" s="2" t="s">
        <v>239</v>
      </c>
      <c r="B194" s="3">
        <v>45442</v>
      </c>
      <c r="C194" s="2" t="s">
        <v>198</v>
      </c>
      <c r="D194" s="2" t="s">
        <v>163</v>
      </c>
      <c r="E194" s="2" t="s">
        <v>32</v>
      </c>
      <c r="F194" s="2" t="s">
        <v>33</v>
      </c>
      <c r="G194" s="2" t="s">
        <v>24</v>
      </c>
      <c r="H194" s="2" t="s">
        <v>25</v>
      </c>
      <c r="I194" s="2">
        <v>2</v>
      </c>
      <c r="J194" s="4">
        <v>15700</v>
      </c>
      <c r="K194" s="4">
        <v>31400</v>
      </c>
      <c r="L194" s="4">
        <v>18212</v>
      </c>
      <c r="M194" s="4">
        <v>13188</v>
      </c>
      <c r="N194" s="5">
        <v>0.42</v>
      </c>
    </row>
    <row r="195" spans="1:14" x14ac:dyDescent="0.25">
      <c r="A195" t="s">
        <v>240</v>
      </c>
      <c r="B195" s="6">
        <v>45442</v>
      </c>
      <c r="C195" t="s">
        <v>198</v>
      </c>
      <c r="D195" t="s">
        <v>163</v>
      </c>
      <c r="E195" t="s">
        <v>27</v>
      </c>
      <c r="F195" t="s">
        <v>23</v>
      </c>
      <c r="G195" t="s">
        <v>24</v>
      </c>
      <c r="H195" t="s">
        <v>25</v>
      </c>
      <c r="I195">
        <v>3</v>
      </c>
      <c r="J195" s="7">
        <v>14900</v>
      </c>
      <c r="K195" s="7">
        <v>44700</v>
      </c>
      <c r="L195" s="7">
        <v>25926</v>
      </c>
      <c r="M195" s="7">
        <v>18774</v>
      </c>
      <c r="N195" s="8">
        <v>0.42</v>
      </c>
    </row>
    <row r="196" spans="1:14" x14ac:dyDescent="0.25">
      <c r="A196" s="2" t="s">
        <v>241</v>
      </c>
      <c r="B196" s="3">
        <v>45443</v>
      </c>
      <c r="C196" s="2" t="s">
        <v>198</v>
      </c>
      <c r="D196" s="2" t="s">
        <v>163</v>
      </c>
      <c r="E196" s="2" t="s">
        <v>37</v>
      </c>
      <c r="F196" s="2" t="s">
        <v>33</v>
      </c>
      <c r="G196" s="2" t="s">
        <v>63</v>
      </c>
      <c r="H196" s="2" t="s">
        <v>46</v>
      </c>
      <c r="I196" s="2">
        <v>7</v>
      </c>
      <c r="J196" s="4">
        <v>7600</v>
      </c>
      <c r="K196" s="4">
        <v>53200</v>
      </c>
      <c r="L196" s="4">
        <v>32984</v>
      </c>
      <c r="M196" s="4">
        <v>20216</v>
      </c>
      <c r="N196" s="5">
        <v>0.38</v>
      </c>
    </row>
    <row r="197" spans="1:14" x14ac:dyDescent="0.25">
      <c r="A197" t="s">
        <v>242</v>
      </c>
      <c r="B197" s="6">
        <v>45443</v>
      </c>
      <c r="C197" t="s">
        <v>198</v>
      </c>
      <c r="D197" t="s">
        <v>163</v>
      </c>
      <c r="E197" t="s">
        <v>22</v>
      </c>
      <c r="F197" t="s">
        <v>23</v>
      </c>
      <c r="G197" t="s">
        <v>29</v>
      </c>
      <c r="H197" t="s">
        <v>30</v>
      </c>
      <c r="I197">
        <v>7</v>
      </c>
      <c r="J197" s="7">
        <v>2400</v>
      </c>
      <c r="K197" s="7">
        <v>16800</v>
      </c>
      <c r="L197" s="7">
        <v>7560</v>
      </c>
      <c r="M197" s="7">
        <v>9240</v>
      </c>
      <c r="N197" s="8">
        <v>0.55000000000000004</v>
      </c>
    </row>
    <row r="198" spans="1:14" x14ac:dyDescent="0.25">
      <c r="A198" s="2" t="s">
        <v>243</v>
      </c>
      <c r="B198" s="3">
        <v>45443</v>
      </c>
      <c r="C198" s="2" t="s">
        <v>198</v>
      </c>
      <c r="D198" s="2" t="s">
        <v>163</v>
      </c>
      <c r="E198" s="2" t="s">
        <v>54</v>
      </c>
      <c r="F198" s="2" t="s">
        <v>42</v>
      </c>
      <c r="G198" s="2" t="s">
        <v>29</v>
      </c>
      <c r="H198" s="2" t="s">
        <v>30</v>
      </c>
      <c r="I198" s="2">
        <v>2</v>
      </c>
      <c r="J198" s="4">
        <v>2700</v>
      </c>
      <c r="K198" s="4">
        <v>5400</v>
      </c>
      <c r="L198" s="4">
        <v>2430</v>
      </c>
      <c r="M198" s="4">
        <v>2970</v>
      </c>
      <c r="N198" s="5">
        <v>0.55000000000000004</v>
      </c>
    </row>
    <row r="199" spans="1:14" x14ac:dyDescent="0.25">
      <c r="A199" t="s">
        <v>244</v>
      </c>
      <c r="B199" s="6">
        <v>45443</v>
      </c>
      <c r="C199" t="s">
        <v>198</v>
      </c>
      <c r="D199" t="s">
        <v>163</v>
      </c>
      <c r="E199" t="s">
        <v>32</v>
      </c>
      <c r="F199" t="s">
        <v>33</v>
      </c>
      <c r="G199" t="s">
        <v>34</v>
      </c>
      <c r="H199" t="s">
        <v>35</v>
      </c>
      <c r="I199">
        <v>2</v>
      </c>
      <c r="J199" s="7">
        <v>4000</v>
      </c>
      <c r="K199" s="7">
        <v>8000</v>
      </c>
      <c r="L199" s="7">
        <v>3840</v>
      </c>
      <c r="M199" s="7">
        <v>4160</v>
      </c>
      <c r="N199" s="8">
        <v>0.52</v>
      </c>
    </row>
    <row r="200" spans="1:14" x14ac:dyDescent="0.25">
      <c r="A200" s="2" t="s">
        <v>245</v>
      </c>
      <c r="B200" s="3">
        <v>45444</v>
      </c>
      <c r="C200" s="2" t="s">
        <v>246</v>
      </c>
      <c r="D200" s="2" t="s">
        <v>163</v>
      </c>
      <c r="E200" s="2" t="s">
        <v>32</v>
      </c>
      <c r="F200" s="2" t="s">
        <v>23</v>
      </c>
      <c r="G200" s="2" t="s">
        <v>34</v>
      </c>
      <c r="H200" s="2" t="s">
        <v>35</v>
      </c>
      <c r="I200" s="2">
        <v>10</v>
      </c>
      <c r="J200" s="4">
        <v>3400</v>
      </c>
      <c r="K200" s="4">
        <v>34000</v>
      </c>
      <c r="L200" s="4">
        <v>16320</v>
      </c>
      <c r="M200" s="4">
        <v>17680</v>
      </c>
      <c r="N200" s="5">
        <v>0.52</v>
      </c>
    </row>
    <row r="201" spans="1:14" x14ac:dyDescent="0.25">
      <c r="A201" t="s">
        <v>247</v>
      </c>
      <c r="B201" s="6">
        <v>45445</v>
      </c>
      <c r="C201" t="s">
        <v>246</v>
      </c>
      <c r="D201" t="s">
        <v>163</v>
      </c>
      <c r="E201" t="s">
        <v>32</v>
      </c>
      <c r="F201" t="s">
        <v>59</v>
      </c>
      <c r="G201" t="s">
        <v>45</v>
      </c>
      <c r="H201" t="s">
        <v>46</v>
      </c>
      <c r="I201">
        <v>2</v>
      </c>
      <c r="J201" s="7">
        <v>8800</v>
      </c>
      <c r="K201" s="7">
        <v>17600</v>
      </c>
      <c r="L201" s="7">
        <v>10560</v>
      </c>
      <c r="M201" s="7">
        <v>7040</v>
      </c>
      <c r="N201" s="8">
        <v>0.4</v>
      </c>
    </row>
    <row r="202" spans="1:14" x14ac:dyDescent="0.25">
      <c r="A202" s="2" t="s">
        <v>248</v>
      </c>
      <c r="B202" s="3">
        <v>45446</v>
      </c>
      <c r="C202" s="2" t="s">
        <v>246</v>
      </c>
      <c r="D202" s="2" t="s">
        <v>163</v>
      </c>
      <c r="E202" s="2" t="s">
        <v>54</v>
      </c>
      <c r="F202" s="2" t="s">
        <v>59</v>
      </c>
      <c r="G202" s="2" t="s">
        <v>45</v>
      </c>
      <c r="H202" s="2" t="s">
        <v>46</v>
      </c>
      <c r="I202" s="2">
        <v>7</v>
      </c>
      <c r="J202" s="4">
        <v>8700</v>
      </c>
      <c r="K202" s="4">
        <v>60900</v>
      </c>
      <c r="L202" s="4">
        <v>36540</v>
      </c>
      <c r="M202" s="4">
        <v>24360</v>
      </c>
      <c r="N202" s="5">
        <v>0.4</v>
      </c>
    </row>
    <row r="203" spans="1:14" x14ac:dyDescent="0.25">
      <c r="A203" t="s">
        <v>249</v>
      </c>
      <c r="B203" s="6">
        <v>45446</v>
      </c>
      <c r="C203" t="s">
        <v>246</v>
      </c>
      <c r="D203" t="s">
        <v>163</v>
      </c>
      <c r="E203" t="s">
        <v>27</v>
      </c>
      <c r="F203" t="s">
        <v>59</v>
      </c>
      <c r="G203" t="s">
        <v>19</v>
      </c>
      <c r="H203" t="s">
        <v>20</v>
      </c>
      <c r="I203">
        <v>2</v>
      </c>
      <c r="J203" s="7">
        <v>5100</v>
      </c>
      <c r="K203" s="7">
        <v>10200</v>
      </c>
      <c r="L203" s="7">
        <v>5610</v>
      </c>
      <c r="M203" s="7">
        <v>4590</v>
      </c>
      <c r="N203" s="8">
        <v>0.45</v>
      </c>
    </row>
    <row r="204" spans="1:14" x14ac:dyDescent="0.25">
      <c r="A204" s="2" t="s">
        <v>250</v>
      </c>
      <c r="B204" s="3">
        <v>45451</v>
      </c>
      <c r="C204" s="2" t="s">
        <v>246</v>
      </c>
      <c r="D204" s="2" t="s">
        <v>163</v>
      </c>
      <c r="E204" s="2" t="s">
        <v>32</v>
      </c>
      <c r="F204" s="2" t="s">
        <v>23</v>
      </c>
      <c r="G204" s="2" t="s">
        <v>34</v>
      </c>
      <c r="H204" s="2" t="s">
        <v>35</v>
      </c>
      <c r="I204" s="2">
        <v>4</v>
      </c>
      <c r="J204" s="4">
        <v>3500</v>
      </c>
      <c r="K204" s="4">
        <v>14000</v>
      </c>
      <c r="L204" s="4">
        <v>6720</v>
      </c>
      <c r="M204" s="4">
        <v>7280</v>
      </c>
      <c r="N204" s="5">
        <v>0.52</v>
      </c>
    </row>
    <row r="205" spans="1:14" x14ac:dyDescent="0.25">
      <c r="A205" t="s">
        <v>251</v>
      </c>
      <c r="B205" s="6">
        <v>45452</v>
      </c>
      <c r="C205" t="s">
        <v>246</v>
      </c>
      <c r="D205" t="s">
        <v>163</v>
      </c>
      <c r="E205" t="s">
        <v>37</v>
      </c>
      <c r="F205" t="s">
        <v>33</v>
      </c>
      <c r="G205" t="s">
        <v>29</v>
      </c>
      <c r="H205" t="s">
        <v>30</v>
      </c>
      <c r="I205">
        <v>3</v>
      </c>
      <c r="J205" s="7">
        <v>2400</v>
      </c>
      <c r="K205" s="7">
        <v>7200</v>
      </c>
      <c r="L205" s="7">
        <v>3240</v>
      </c>
      <c r="M205" s="7">
        <v>3960</v>
      </c>
      <c r="N205" s="8">
        <v>0.55000000000000004</v>
      </c>
    </row>
    <row r="206" spans="1:14" x14ac:dyDescent="0.25">
      <c r="A206" s="2" t="s">
        <v>252</v>
      </c>
      <c r="B206" s="3">
        <v>45452</v>
      </c>
      <c r="C206" s="2" t="s">
        <v>246</v>
      </c>
      <c r="D206" s="2" t="s">
        <v>163</v>
      </c>
      <c r="E206" s="2" t="s">
        <v>37</v>
      </c>
      <c r="F206" s="2" t="s">
        <v>59</v>
      </c>
      <c r="G206" s="2" t="s">
        <v>19</v>
      </c>
      <c r="H206" s="2" t="s">
        <v>20</v>
      </c>
      <c r="I206" s="2">
        <v>3</v>
      </c>
      <c r="J206" s="4">
        <v>5000</v>
      </c>
      <c r="K206" s="4">
        <v>15000</v>
      </c>
      <c r="L206" s="4">
        <v>8250</v>
      </c>
      <c r="M206" s="4">
        <v>6750</v>
      </c>
      <c r="N206" s="5">
        <v>0.45</v>
      </c>
    </row>
    <row r="207" spans="1:14" x14ac:dyDescent="0.25">
      <c r="A207" t="s">
        <v>253</v>
      </c>
      <c r="B207" s="6">
        <v>45452</v>
      </c>
      <c r="C207" t="s">
        <v>246</v>
      </c>
      <c r="D207" t="s">
        <v>163</v>
      </c>
      <c r="E207" t="s">
        <v>17</v>
      </c>
      <c r="F207" t="s">
        <v>59</v>
      </c>
      <c r="G207" t="s">
        <v>29</v>
      </c>
      <c r="H207" t="s">
        <v>30</v>
      </c>
      <c r="I207">
        <v>8</v>
      </c>
      <c r="J207" s="7">
        <v>2700</v>
      </c>
      <c r="K207" s="7">
        <v>21600</v>
      </c>
      <c r="L207" s="7">
        <v>9720</v>
      </c>
      <c r="M207" s="7">
        <v>11880</v>
      </c>
      <c r="N207" s="8">
        <v>0.55000000000000004</v>
      </c>
    </row>
    <row r="208" spans="1:14" x14ac:dyDescent="0.25">
      <c r="A208" s="2" t="s">
        <v>254</v>
      </c>
      <c r="B208" s="3">
        <v>45453</v>
      </c>
      <c r="C208" s="2" t="s">
        <v>246</v>
      </c>
      <c r="D208" s="2" t="s">
        <v>163</v>
      </c>
      <c r="E208" s="2" t="s">
        <v>17</v>
      </c>
      <c r="F208" s="2" t="s">
        <v>33</v>
      </c>
      <c r="G208" s="2" t="s">
        <v>34</v>
      </c>
      <c r="H208" s="2" t="s">
        <v>35</v>
      </c>
      <c r="I208" s="2">
        <v>4</v>
      </c>
      <c r="J208" s="4">
        <v>3400</v>
      </c>
      <c r="K208" s="4">
        <v>13600</v>
      </c>
      <c r="L208" s="4">
        <v>6528</v>
      </c>
      <c r="M208" s="4">
        <v>7072</v>
      </c>
      <c r="N208" s="5">
        <v>0.52</v>
      </c>
    </row>
    <row r="209" spans="1:14" x14ac:dyDescent="0.25">
      <c r="A209" t="s">
        <v>255</v>
      </c>
      <c r="B209" s="6">
        <v>45453</v>
      </c>
      <c r="C209" t="s">
        <v>246</v>
      </c>
      <c r="D209" t="s">
        <v>163</v>
      </c>
      <c r="E209" t="s">
        <v>37</v>
      </c>
      <c r="F209" t="s">
        <v>59</v>
      </c>
      <c r="G209" t="s">
        <v>29</v>
      </c>
      <c r="H209" t="s">
        <v>30</v>
      </c>
      <c r="I209">
        <v>7</v>
      </c>
      <c r="J209" s="7">
        <v>2700</v>
      </c>
      <c r="K209" s="7">
        <v>18900</v>
      </c>
      <c r="L209" s="7">
        <v>8505</v>
      </c>
      <c r="M209" s="7">
        <v>10395</v>
      </c>
      <c r="N209" s="8">
        <v>0.55000000000000004</v>
      </c>
    </row>
    <row r="210" spans="1:14" x14ac:dyDescent="0.25">
      <c r="A210" s="2" t="s">
        <v>256</v>
      </c>
      <c r="B210" s="3">
        <v>45456</v>
      </c>
      <c r="C210" s="2" t="s">
        <v>246</v>
      </c>
      <c r="D210" s="2" t="s">
        <v>163</v>
      </c>
      <c r="E210" s="2" t="s">
        <v>17</v>
      </c>
      <c r="F210" s="2" t="s">
        <v>59</v>
      </c>
      <c r="G210" s="2" t="s">
        <v>29</v>
      </c>
      <c r="H210" s="2" t="s">
        <v>30</v>
      </c>
      <c r="I210" s="2">
        <v>4</v>
      </c>
      <c r="J210" s="4">
        <v>2900</v>
      </c>
      <c r="K210" s="4">
        <v>11600</v>
      </c>
      <c r="L210" s="4">
        <v>5220</v>
      </c>
      <c r="M210" s="4">
        <v>6380</v>
      </c>
      <c r="N210" s="5">
        <v>0.55000000000000004</v>
      </c>
    </row>
    <row r="211" spans="1:14" x14ac:dyDescent="0.25">
      <c r="A211" t="s">
        <v>257</v>
      </c>
      <c r="B211" s="6">
        <v>45456</v>
      </c>
      <c r="C211" t="s">
        <v>246</v>
      </c>
      <c r="D211" t="s">
        <v>163</v>
      </c>
      <c r="E211" t="s">
        <v>54</v>
      </c>
      <c r="F211" t="s">
        <v>59</v>
      </c>
      <c r="G211" t="s">
        <v>38</v>
      </c>
      <c r="H211" t="s">
        <v>39</v>
      </c>
      <c r="I211">
        <v>5</v>
      </c>
      <c r="J211" s="7">
        <v>11000</v>
      </c>
      <c r="K211" s="7">
        <v>55000</v>
      </c>
      <c r="L211" s="7">
        <v>33000</v>
      </c>
      <c r="M211" s="7">
        <v>22000</v>
      </c>
      <c r="N211" s="8">
        <v>0.4</v>
      </c>
    </row>
    <row r="212" spans="1:14" x14ac:dyDescent="0.25">
      <c r="A212" s="2" t="s">
        <v>258</v>
      </c>
      <c r="B212" s="3">
        <v>45457</v>
      </c>
      <c r="C212" s="2" t="s">
        <v>246</v>
      </c>
      <c r="D212" s="2" t="s">
        <v>163</v>
      </c>
      <c r="E212" s="2" t="s">
        <v>54</v>
      </c>
      <c r="F212" s="2" t="s">
        <v>18</v>
      </c>
      <c r="G212" s="2" t="s">
        <v>29</v>
      </c>
      <c r="H212" s="2" t="s">
        <v>30</v>
      </c>
      <c r="I212" s="2">
        <v>9</v>
      </c>
      <c r="J212" s="4">
        <v>2500</v>
      </c>
      <c r="K212" s="4">
        <v>22500</v>
      </c>
      <c r="L212" s="4">
        <v>10125</v>
      </c>
      <c r="M212" s="4">
        <v>12375</v>
      </c>
      <c r="N212" s="5">
        <v>0.55000000000000004</v>
      </c>
    </row>
    <row r="213" spans="1:14" x14ac:dyDescent="0.25">
      <c r="A213" t="s">
        <v>259</v>
      </c>
      <c r="B213" s="6">
        <v>45458</v>
      </c>
      <c r="C213" t="s">
        <v>246</v>
      </c>
      <c r="D213" t="s">
        <v>163</v>
      </c>
      <c r="E213" t="s">
        <v>27</v>
      </c>
      <c r="F213" t="s">
        <v>59</v>
      </c>
      <c r="G213" t="s">
        <v>45</v>
      </c>
      <c r="H213" t="s">
        <v>46</v>
      </c>
      <c r="I213">
        <v>6</v>
      </c>
      <c r="J213" s="7">
        <v>9300</v>
      </c>
      <c r="K213" s="7">
        <v>55800</v>
      </c>
      <c r="L213" s="7">
        <v>33480</v>
      </c>
      <c r="M213" s="7">
        <v>22320</v>
      </c>
      <c r="N213" s="8">
        <v>0.4</v>
      </c>
    </row>
    <row r="214" spans="1:14" x14ac:dyDescent="0.25">
      <c r="A214" s="2" t="s">
        <v>260</v>
      </c>
      <c r="B214" s="3">
        <v>45458</v>
      </c>
      <c r="C214" s="2" t="s">
        <v>246</v>
      </c>
      <c r="D214" s="2" t="s">
        <v>163</v>
      </c>
      <c r="E214" s="2" t="s">
        <v>37</v>
      </c>
      <c r="F214" s="2" t="s">
        <v>59</v>
      </c>
      <c r="G214" s="2" t="s">
        <v>29</v>
      </c>
      <c r="H214" s="2" t="s">
        <v>30</v>
      </c>
      <c r="I214" s="2">
        <v>5</v>
      </c>
      <c r="J214" s="4">
        <v>2500</v>
      </c>
      <c r="K214" s="4">
        <v>12500</v>
      </c>
      <c r="L214" s="4">
        <v>5625</v>
      </c>
      <c r="M214" s="4">
        <v>6875</v>
      </c>
      <c r="N214" s="5">
        <v>0.55000000000000004</v>
      </c>
    </row>
    <row r="215" spans="1:14" x14ac:dyDescent="0.25">
      <c r="A215" t="s">
        <v>261</v>
      </c>
      <c r="B215" s="6">
        <v>45459</v>
      </c>
      <c r="C215" t="s">
        <v>246</v>
      </c>
      <c r="D215" t="s">
        <v>163</v>
      </c>
      <c r="E215" t="s">
        <v>54</v>
      </c>
      <c r="F215" t="s">
        <v>59</v>
      </c>
      <c r="G215" t="s">
        <v>24</v>
      </c>
      <c r="H215" t="s">
        <v>25</v>
      </c>
      <c r="I215">
        <v>7</v>
      </c>
      <c r="J215" s="7">
        <v>16400</v>
      </c>
      <c r="K215" s="7">
        <v>114800</v>
      </c>
      <c r="L215" s="7">
        <v>66584</v>
      </c>
      <c r="M215" s="7">
        <v>48216</v>
      </c>
      <c r="N215" s="8">
        <v>0.42</v>
      </c>
    </row>
    <row r="216" spans="1:14" x14ac:dyDescent="0.25">
      <c r="A216" s="2" t="s">
        <v>262</v>
      </c>
      <c r="B216" s="3">
        <v>45459</v>
      </c>
      <c r="C216" s="2" t="s">
        <v>246</v>
      </c>
      <c r="D216" s="2" t="s">
        <v>163</v>
      </c>
      <c r="E216" s="2" t="s">
        <v>27</v>
      </c>
      <c r="F216" s="2" t="s">
        <v>42</v>
      </c>
      <c r="G216" s="2" t="s">
        <v>38</v>
      </c>
      <c r="H216" s="2" t="s">
        <v>39</v>
      </c>
      <c r="I216" s="2">
        <v>2</v>
      </c>
      <c r="J216" s="4">
        <v>12000</v>
      </c>
      <c r="K216" s="4">
        <v>24000</v>
      </c>
      <c r="L216" s="4">
        <v>14400</v>
      </c>
      <c r="M216" s="4">
        <v>9600</v>
      </c>
      <c r="N216" s="5">
        <v>0.4</v>
      </c>
    </row>
    <row r="217" spans="1:14" x14ac:dyDescent="0.25">
      <c r="A217" t="s">
        <v>263</v>
      </c>
      <c r="B217" s="6">
        <v>45460</v>
      </c>
      <c r="C217" t="s">
        <v>246</v>
      </c>
      <c r="D217" t="s">
        <v>163</v>
      </c>
      <c r="E217" t="s">
        <v>37</v>
      </c>
      <c r="F217" t="s">
        <v>18</v>
      </c>
      <c r="G217" t="s">
        <v>38</v>
      </c>
      <c r="H217" t="s">
        <v>39</v>
      </c>
      <c r="I217">
        <v>7</v>
      </c>
      <c r="J217" s="7">
        <v>12000</v>
      </c>
      <c r="K217" s="7">
        <v>84000</v>
      </c>
      <c r="L217" s="7">
        <v>50400</v>
      </c>
      <c r="M217" s="7">
        <v>33600</v>
      </c>
      <c r="N217" s="8">
        <v>0.4</v>
      </c>
    </row>
    <row r="218" spans="1:14" x14ac:dyDescent="0.25">
      <c r="A218" s="2" t="s">
        <v>264</v>
      </c>
      <c r="B218" s="3">
        <v>45461</v>
      </c>
      <c r="C218" s="2" t="s">
        <v>246</v>
      </c>
      <c r="D218" s="2" t="s">
        <v>163</v>
      </c>
      <c r="E218" s="2" t="s">
        <v>37</v>
      </c>
      <c r="F218" s="2" t="s">
        <v>33</v>
      </c>
      <c r="G218" s="2" t="s">
        <v>34</v>
      </c>
      <c r="H218" s="2" t="s">
        <v>35</v>
      </c>
      <c r="I218" s="2">
        <v>3</v>
      </c>
      <c r="J218" s="4">
        <v>3800</v>
      </c>
      <c r="K218" s="4">
        <v>11400</v>
      </c>
      <c r="L218" s="4">
        <v>5472</v>
      </c>
      <c r="M218" s="4">
        <v>5928</v>
      </c>
      <c r="N218" s="5">
        <v>0.52</v>
      </c>
    </row>
    <row r="219" spans="1:14" x14ac:dyDescent="0.25">
      <c r="A219" t="s">
        <v>265</v>
      </c>
      <c r="B219" s="6">
        <v>45462</v>
      </c>
      <c r="C219" t="s">
        <v>246</v>
      </c>
      <c r="D219" t="s">
        <v>163</v>
      </c>
      <c r="E219" t="s">
        <v>27</v>
      </c>
      <c r="F219" t="s">
        <v>18</v>
      </c>
      <c r="G219" t="s">
        <v>29</v>
      </c>
      <c r="H219" t="s">
        <v>30</v>
      </c>
      <c r="I219">
        <v>10</v>
      </c>
      <c r="J219" s="7">
        <v>2900</v>
      </c>
      <c r="K219" s="7">
        <v>29000</v>
      </c>
      <c r="L219" s="7">
        <v>13050</v>
      </c>
      <c r="M219" s="7">
        <v>15950</v>
      </c>
      <c r="N219" s="8">
        <v>0.55000000000000004</v>
      </c>
    </row>
    <row r="220" spans="1:14" x14ac:dyDescent="0.25">
      <c r="A220" s="2" t="s">
        <v>266</v>
      </c>
      <c r="B220" s="3">
        <v>45462</v>
      </c>
      <c r="C220" s="2" t="s">
        <v>246</v>
      </c>
      <c r="D220" s="2" t="s">
        <v>163</v>
      </c>
      <c r="E220" s="2" t="s">
        <v>54</v>
      </c>
      <c r="F220" s="2" t="s">
        <v>33</v>
      </c>
      <c r="G220" s="2" t="s">
        <v>63</v>
      </c>
      <c r="H220" s="2" t="s">
        <v>46</v>
      </c>
      <c r="I220" s="2">
        <v>9</v>
      </c>
      <c r="J220" s="4">
        <v>7300</v>
      </c>
      <c r="K220" s="4">
        <v>65700</v>
      </c>
      <c r="L220" s="4">
        <v>40734</v>
      </c>
      <c r="M220" s="4">
        <v>24966</v>
      </c>
      <c r="N220" s="5">
        <v>0.38</v>
      </c>
    </row>
    <row r="221" spans="1:14" x14ac:dyDescent="0.25">
      <c r="A221" t="s">
        <v>267</v>
      </c>
      <c r="B221" s="6">
        <v>45463</v>
      </c>
      <c r="C221" t="s">
        <v>246</v>
      </c>
      <c r="D221" t="s">
        <v>163</v>
      </c>
      <c r="E221" t="s">
        <v>22</v>
      </c>
      <c r="F221" t="s">
        <v>33</v>
      </c>
      <c r="G221" t="s">
        <v>63</v>
      </c>
      <c r="H221" t="s">
        <v>46</v>
      </c>
      <c r="I221">
        <v>5</v>
      </c>
      <c r="J221" s="7">
        <v>7500</v>
      </c>
      <c r="K221" s="7">
        <v>37500</v>
      </c>
      <c r="L221" s="7">
        <v>23250</v>
      </c>
      <c r="M221" s="7">
        <v>14250</v>
      </c>
      <c r="N221" s="8">
        <v>0.38</v>
      </c>
    </row>
    <row r="222" spans="1:14" x14ac:dyDescent="0.25">
      <c r="A222" s="2" t="s">
        <v>268</v>
      </c>
      <c r="B222" s="3">
        <v>45464</v>
      </c>
      <c r="C222" s="2" t="s">
        <v>246</v>
      </c>
      <c r="D222" s="2" t="s">
        <v>163</v>
      </c>
      <c r="E222" s="2" t="s">
        <v>32</v>
      </c>
      <c r="F222" s="2" t="s">
        <v>18</v>
      </c>
      <c r="G222" s="2" t="s">
        <v>50</v>
      </c>
      <c r="H222" s="2" t="s">
        <v>46</v>
      </c>
      <c r="I222" s="2">
        <v>1</v>
      </c>
      <c r="J222" s="4">
        <v>27700</v>
      </c>
      <c r="K222" s="4">
        <v>27700</v>
      </c>
      <c r="L222" s="4">
        <v>18005</v>
      </c>
      <c r="M222" s="4">
        <v>9695</v>
      </c>
      <c r="N222" s="5">
        <v>0.35</v>
      </c>
    </row>
    <row r="223" spans="1:14" x14ac:dyDescent="0.25">
      <c r="A223" t="s">
        <v>269</v>
      </c>
      <c r="B223" s="6">
        <v>45465</v>
      </c>
      <c r="C223" t="s">
        <v>246</v>
      </c>
      <c r="D223" t="s">
        <v>163</v>
      </c>
      <c r="E223" t="s">
        <v>17</v>
      </c>
      <c r="F223" t="s">
        <v>59</v>
      </c>
      <c r="G223" t="s">
        <v>38</v>
      </c>
      <c r="H223" t="s">
        <v>39</v>
      </c>
      <c r="I223">
        <v>4</v>
      </c>
      <c r="J223" s="7">
        <v>11500</v>
      </c>
      <c r="K223" s="7">
        <v>46000</v>
      </c>
      <c r="L223" s="7">
        <v>27600</v>
      </c>
      <c r="M223" s="7">
        <v>18400</v>
      </c>
      <c r="N223" s="8">
        <v>0.4</v>
      </c>
    </row>
    <row r="224" spans="1:14" x14ac:dyDescent="0.25">
      <c r="A224" s="2" t="s">
        <v>270</v>
      </c>
      <c r="B224" s="3">
        <v>45465</v>
      </c>
      <c r="C224" s="2" t="s">
        <v>246</v>
      </c>
      <c r="D224" s="2" t="s">
        <v>163</v>
      </c>
      <c r="E224" s="2" t="s">
        <v>27</v>
      </c>
      <c r="F224" s="2" t="s">
        <v>42</v>
      </c>
      <c r="G224" s="2" t="s">
        <v>38</v>
      </c>
      <c r="H224" s="2" t="s">
        <v>39</v>
      </c>
      <c r="I224" s="2">
        <v>2</v>
      </c>
      <c r="J224" s="4">
        <v>12200</v>
      </c>
      <c r="K224" s="4">
        <v>24400</v>
      </c>
      <c r="L224" s="4">
        <v>14640</v>
      </c>
      <c r="M224" s="4">
        <v>9760</v>
      </c>
      <c r="N224" s="5">
        <v>0.4</v>
      </c>
    </row>
    <row r="225" spans="1:14" x14ac:dyDescent="0.25">
      <c r="A225" t="s">
        <v>271</v>
      </c>
      <c r="B225" s="6">
        <v>45465</v>
      </c>
      <c r="C225" t="s">
        <v>246</v>
      </c>
      <c r="D225" t="s">
        <v>163</v>
      </c>
      <c r="E225" t="s">
        <v>32</v>
      </c>
      <c r="F225" t="s">
        <v>28</v>
      </c>
      <c r="G225" t="s">
        <v>50</v>
      </c>
      <c r="H225" t="s">
        <v>46</v>
      </c>
      <c r="I225">
        <v>6</v>
      </c>
      <c r="J225" s="7">
        <v>27400</v>
      </c>
      <c r="K225" s="7">
        <v>164400</v>
      </c>
      <c r="L225" s="7">
        <v>106860</v>
      </c>
      <c r="M225" s="7">
        <v>57540</v>
      </c>
      <c r="N225" s="8">
        <v>0.35</v>
      </c>
    </row>
    <row r="226" spans="1:14" x14ac:dyDescent="0.25">
      <c r="A226" s="2" t="s">
        <v>272</v>
      </c>
      <c r="B226" s="3">
        <v>45466</v>
      </c>
      <c r="C226" s="2" t="s">
        <v>246</v>
      </c>
      <c r="D226" s="2" t="s">
        <v>163</v>
      </c>
      <c r="E226" s="2" t="s">
        <v>22</v>
      </c>
      <c r="F226" s="2" t="s">
        <v>18</v>
      </c>
      <c r="G226" s="2" t="s">
        <v>63</v>
      </c>
      <c r="H226" s="2" t="s">
        <v>46</v>
      </c>
      <c r="I226" s="2">
        <v>5</v>
      </c>
      <c r="J226" s="4">
        <v>9100</v>
      </c>
      <c r="K226" s="4">
        <v>45500</v>
      </c>
      <c r="L226" s="4">
        <v>28210</v>
      </c>
      <c r="M226" s="4">
        <v>17290</v>
      </c>
      <c r="N226" s="5">
        <v>0.38</v>
      </c>
    </row>
    <row r="227" spans="1:14" x14ac:dyDescent="0.25">
      <c r="A227" t="s">
        <v>273</v>
      </c>
      <c r="B227" s="6">
        <v>45466</v>
      </c>
      <c r="C227" t="s">
        <v>246</v>
      </c>
      <c r="D227" t="s">
        <v>163</v>
      </c>
      <c r="E227" t="s">
        <v>32</v>
      </c>
      <c r="F227" t="s">
        <v>33</v>
      </c>
      <c r="G227" t="s">
        <v>34</v>
      </c>
      <c r="H227" t="s">
        <v>35</v>
      </c>
      <c r="I227">
        <v>6</v>
      </c>
      <c r="J227" s="7">
        <v>4000</v>
      </c>
      <c r="K227" s="7">
        <v>24000</v>
      </c>
      <c r="L227" s="7">
        <v>11520</v>
      </c>
      <c r="M227" s="7">
        <v>12480</v>
      </c>
      <c r="N227" s="8">
        <v>0.52</v>
      </c>
    </row>
    <row r="228" spans="1:14" x14ac:dyDescent="0.25">
      <c r="A228" s="2" t="s">
        <v>274</v>
      </c>
      <c r="B228" s="3">
        <v>45468</v>
      </c>
      <c r="C228" s="2" t="s">
        <v>246</v>
      </c>
      <c r="D228" s="2" t="s">
        <v>163</v>
      </c>
      <c r="E228" s="2" t="s">
        <v>22</v>
      </c>
      <c r="F228" s="2" t="s">
        <v>59</v>
      </c>
      <c r="G228" s="2" t="s">
        <v>24</v>
      </c>
      <c r="H228" s="2" t="s">
        <v>25</v>
      </c>
      <c r="I228" s="2">
        <v>9</v>
      </c>
      <c r="J228" s="4">
        <v>15600</v>
      </c>
      <c r="K228" s="4">
        <v>140400</v>
      </c>
      <c r="L228" s="4">
        <v>81432</v>
      </c>
      <c r="M228" s="4">
        <v>58968</v>
      </c>
      <c r="N228" s="5">
        <v>0.42</v>
      </c>
    </row>
    <row r="229" spans="1:14" x14ac:dyDescent="0.25">
      <c r="A229" t="s">
        <v>275</v>
      </c>
      <c r="B229" s="6">
        <v>45468</v>
      </c>
      <c r="C229" t="s">
        <v>246</v>
      </c>
      <c r="D229" t="s">
        <v>163</v>
      </c>
      <c r="E229" t="s">
        <v>17</v>
      </c>
      <c r="F229" t="s">
        <v>33</v>
      </c>
      <c r="G229" t="s">
        <v>29</v>
      </c>
      <c r="H229" t="s">
        <v>30</v>
      </c>
      <c r="I229">
        <v>2</v>
      </c>
      <c r="J229" s="7">
        <v>2700</v>
      </c>
      <c r="K229" s="7">
        <v>5400</v>
      </c>
      <c r="L229" s="7">
        <v>2430</v>
      </c>
      <c r="M229" s="7">
        <v>2970</v>
      </c>
      <c r="N229" s="8">
        <v>0.55000000000000004</v>
      </c>
    </row>
    <row r="230" spans="1:14" x14ac:dyDescent="0.25">
      <c r="A230" s="2" t="s">
        <v>276</v>
      </c>
      <c r="B230" s="3">
        <v>45468</v>
      </c>
      <c r="C230" s="2" t="s">
        <v>246</v>
      </c>
      <c r="D230" s="2" t="s">
        <v>163</v>
      </c>
      <c r="E230" s="2" t="s">
        <v>17</v>
      </c>
      <c r="F230" s="2" t="s">
        <v>23</v>
      </c>
      <c r="G230" s="2" t="s">
        <v>34</v>
      </c>
      <c r="H230" s="2" t="s">
        <v>35</v>
      </c>
      <c r="I230" s="2">
        <v>6</v>
      </c>
      <c r="J230" s="4">
        <v>3300</v>
      </c>
      <c r="K230" s="4">
        <v>19800</v>
      </c>
      <c r="L230" s="4">
        <v>9504</v>
      </c>
      <c r="M230" s="4">
        <v>10296</v>
      </c>
      <c r="N230" s="5">
        <v>0.52</v>
      </c>
    </row>
    <row r="231" spans="1:14" x14ac:dyDescent="0.25">
      <c r="A231" t="s">
        <v>277</v>
      </c>
      <c r="B231" s="6">
        <v>45469</v>
      </c>
      <c r="C231" t="s">
        <v>246</v>
      </c>
      <c r="D231" t="s">
        <v>163</v>
      </c>
      <c r="E231" t="s">
        <v>32</v>
      </c>
      <c r="F231" t="s">
        <v>33</v>
      </c>
      <c r="G231" t="s">
        <v>63</v>
      </c>
      <c r="H231" t="s">
        <v>46</v>
      </c>
      <c r="I231">
        <v>2</v>
      </c>
      <c r="J231" s="7">
        <v>7800</v>
      </c>
      <c r="K231" s="7">
        <v>15600</v>
      </c>
      <c r="L231" s="7">
        <v>9672</v>
      </c>
      <c r="M231" s="7">
        <v>5928</v>
      </c>
      <c r="N231" s="8">
        <v>0.38</v>
      </c>
    </row>
    <row r="232" spans="1:14" x14ac:dyDescent="0.25">
      <c r="A232" s="2" t="s">
        <v>278</v>
      </c>
      <c r="B232" s="3">
        <v>45470</v>
      </c>
      <c r="C232" s="2" t="s">
        <v>246</v>
      </c>
      <c r="D232" s="2" t="s">
        <v>163</v>
      </c>
      <c r="E232" s="2" t="s">
        <v>27</v>
      </c>
      <c r="F232" s="2" t="s">
        <v>28</v>
      </c>
      <c r="G232" s="2" t="s">
        <v>34</v>
      </c>
      <c r="H232" s="2" t="s">
        <v>35</v>
      </c>
      <c r="I232" s="2">
        <v>2</v>
      </c>
      <c r="J232" s="4">
        <v>3400</v>
      </c>
      <c r="K232" s="4">
        <v>6800</v>
      </c>
      <c r="L232" s="4">
        <v>3264</v>
      </c>
      <c r="M232" s="4">
        <v>3536</v>
      </c>
      <c r="N232" s="5">
        <v>0.52</v>
      </c>
    </row>
    <row r="233" spans="1:14" x14ac:dyDescent="0.25">
      <c r="A233" t="s">
        <v>279</v>
      </c>
      <c r="B233" s="6">
        <v>45470</v>
      </c>
      <c r="C233" t="s">
        <v>246</v>
      </c>
      <c r="D233" t="s">
        <v>163</v>
      </c>
      <c r="E233" t="s">
        <v>37</v>
      </c>
      <c r="F233" t="s">
        <v>23</v>
      </c>
      <c r="G233" t="s">
        <v>19</v>
      </c>
      <c r="H233" t="s">
        <v>20</v>
      </c>
      <c r="I233">
        <v>10</v>
      </c>
      <c r="J233" s="7">
        <v>4900</v>
      </c>
      <c r="K233" s="7">
        <v>49000</v>
      </c>
      <c r="L233" s="7">
        <v>26950</v>
      </c>
      <c r="M233" s="7">
        <v>22050</v>
      </c>
      <c r="N233" s="8">
        <v>0.45</v>
      </c>
    </row>
    <row r="234" spans="1:14" x14ac:dyDescent="0.25">
      <c r="A234" s="2" t="s">
        <v>280</v>
      </c>
      <c r="B234" s="3">
        <v>45470</v>
      </c>
      <c r="C234" s="2" t="s">
        <v>246</v>
      </c>
      <c r="D234" s="2" t="s">
        <v>163</v>
      </c>
      <c r="E234" s="2" t="s">
        <v>22</v>
      </c>
      <c r="F234" s="2" t="s">
        <v>23</v>
      </c>
      <c r="G234" s="2" t="s">
        <v>38</v>
      </c>
      <c r="H234" s="2" t="s">
        <v>39</v>
      </c>
      <c r="I234" s="2">
        <v>9</v>
      </c>
      <c r="J234" s="4">
        <v>11300</v>
      </c>
      <c r="K234" s="4">
        <v>101700</v>
      </c>
      <c r="L234" s="4">
        <v>61020</v>
      </c>
      <c r="M234" s="4">
        <v>40680</v>
      </c>
      <c r="N234" s="5">
        <v>0.4</v>
      </c>
    </row>
    <row r="235" spans="1:14" x14ac:dyDescent="0.25">
      <c r="A235" t="s">
        <v>281</v>
      </c>
      <c r="B235" s="6">
        <v>45473</v>
      </c>
      <c r="C235" t="s">
        <v>246</v>
      </c>
      <c r="D235" t="s">
        <v>163</v>
      </c>
      <c r="E235" t="s">
        <v>17</v>
      </c>
      <c r="F235" t="s">
        <v>33</v>
      </c>
      <c r="G235" t="s">
        <v>29</v>
      </c>
      <c r="H235" t="s">
        <v>30</v>
      </c>
      <c r="I235">
        <v>2</v>
      </c>
      <c r="J235" s="7">
        <v>2700</v>
      </c>
      <c r="K235" s="7">
        <v>5400</v>
      </c>
      <c r="L235" s="7">
        <v>2430</v>
      </c>
      <c r="M235" s="7">
        <v>2970</v>
      </c>
      <c r="N235" s="8">
        <v>0.55000000000000004</v>
      </c>
    </row>
    <row r="236" spans="1:14" x14ac:dyDescent="0.25">
      <c r="A236" s="2" t="s">
        <v>282</v>
      </c>
      <c r="B236" s="3">
        <v>45473</v>
      </c>
      <c r="C236" s="2" t="s">
        <v>246</v>
      </c>
      <c r="D236" s="2" t="s">
        <v>163</v>
      </c>
      <c r="E236" s="2" t="s">
        <v>27</v>
      </c>
      <c r="F236" s="2" t="s">
        <v>42</v>
      </c>
      <c r="G236" s="2" t="s">
        <v>34</v>
      </c>
      <c r="H236" s="2" t="s">
        <v>35</v>
      </c>
      <c r="I236" s="2">
        <v>3</v>
      </c>
      <c r="J236" s="4">
        <v>4000</v>
      </c>
      <c r="K236" s="4">
        <v>12000</v>
      </c>
      <c r="L236" s="4">
        <v>5760</v>
      </c>
      <c r="M236" s="4">
        <v>6240</v>
      </c>
      <c r="N236" s="5">
        <v>0.52</v>
      </c>
    </row>
    <row r="237" spans="1:14" x14ac:dyDescent="0.25">
      <c r="A237" t="s">
        <v>283</v>
      </c>
      <c r="B237" s="6">
        <v>45473</v>
      </c>
      <c r="C237" t="s">
        <v>246</v>
      </c>
      <c r="D237" t="s">
        <v>163</v>
      </c>
      <c r="E237" t="s">
        <v>54</v>
      </c>
      <c r="F237" t="s">
        <v>59</v>
      </c>
      <c r="G237" t="s">
        <v>19</v>
      </c>
      <c r="H237" t="s">
        <v>20</v>
      </c>
      <c r="I237">
        <v>2</v>
      </c>
      <c r="J237" s="7">
        <v>5500</v>
      </c>
      <c r="K237" s="7">
        <v>11000</v>
      </c>
      <c r="L237" s="7">
        <v>6050</v>
      </c>
      <c r="M237" s="7">
        <v>4950</v>
      </c>
      <c r="N237" s="8">
        <v>0.45</v>
      </c>
    </row>
    <row r="238" spans="1:14" x14ac:dyDescent="0.25">
      <c r="A238" s="2" t="s">
        <v>284</v>
      </c>
      <c r="B238" s="3">
        <v>45473</v>
      </c>
      <c r="C238" s="2" t="s">
        <v>246</v>
      </c>
      <c r="D238" s="2" t="s">
        <v>163</v>
      </c>
      <c r="E238" s="2" t="s">
        <v>17</v>
      </c>
      <c r="F238" s="2" t="s">
        <v>33</v>
      </c>
      <c r="G238" s="2" t="s">
        <v>63</v>
      </c>
      <c r="H238" s="2" t="s">
        <v>46</v>
      </c>
      <c r="I238" s="2">
        <v>1</v>
      </c>
      <c r="J238" s="4">
        <v>8500</v>
      </c>
      <c r="K238" s="4">
        <v>8500</v>
      </c>
      <c r="L238" s="4">
        <v>5270</v>
      </c>
      <c r="M238" s="4">
        <v>3230</v>
      </c>
      <c r="N238" s="5">
        <v>0.38</v>
      </c>
    </row>
    <row r="239" spans="1:14" x14ac:dyDescent="0.25">
      <c r="A239" t="s">
        <v>285</v>
      </c>
      <c r="B239" s="6">
        <v>45475</v>
      </c>
      <c r="C239" t="s">
        <v>286</v>
      </c>
      <c r="D239" t="s">
        <v>287</v>
      </c>
      <c r="E239" t="s">
        <v>32</v>
      </c>
      <c r="F239" t="s">
        <v>59</v>
      </c>
      <c r="G239" t="s">
        <v>50</v>
      </c>
      <c r="H239" t="s">
        <v>46</v>
      </c>
      <c r="I239">
        <v>4</v>
      </c>
      <c r="J239" s="7">
        <v>25000</v>
      </c>
      <c r="K239" s="7">
        <v>100000</v>
      </c>
      <c r="L239" s="7">
        <v>65000</v>
      </c>
      <c r="M239" s="7">
        <v>35000</v>
      </c>
      <c r="N239" s="8">
        <v>0.35</v>
      </c>
    </row>
    <row r="240" spans="1:14" x14ac:dyDescent="0.25">
      <c r="A240" s="2" t="s">
        <v>288</v>
      </c>
      <c r="B240" s="3">
        <v>45475</v>
      </c>
      <c r="C240" s="2" t="s">
        <v>286</v>
      </c>
      <c r="D240" s="2" t="s">
        <v>287</v>
      </c>
      <c r="E240" s="2" t="s">
        <v>27</v>
      </c>
      <c r="F240" s="2" t="s">
        <v>28</v>
      </c>
      <c r="G240" s="2" t="s">
        <v>29</v>
      </c>
      <c r="H240" s="2" t="s">
        <v>30</v>
      </c>
      <c r="I240" s="2">
        <v>1</v>
      </c>
      <c r="J240" s="4">
        <v>2600</v>
      </c>
      <c r="K240" s="4">
        <v>2600</v>
      </c>
      <c r="L240" s="4">
        <v>1170</v>
      </c>
      <c r="M240" s="4">
        <v>1430</v>
      </c>
      <c r="N240" s="5">
        <v>0.55000000000000004</v>
      </c>
    </row>
    <row r="241" spans="1:14" x14ac:dyDescent="0.25">
      <c r="A241" t="s">
        <v>289</v>
      </c>
      <c r="B241" s="6">
        <v>45476</v>
      </c>
      <c r="C241" t="s">
        <v>286</v>
      </c>
      <c r="D241" t="s">
        <v>287</v>
      </c>
      <c r="E241" t="s">
        <v>27</v>
      </c>
      <c r="F241" t="s">
        <v>28</v>
      </c>
      <c r="G241" t="s">
        <v>63</v>
      </c>
      <c r="H241" t="s">
        <v>46</v>
      </c>
      <c r="I241">
        <v>9</v>
      </c>
      <c r="J241" s="7">
        <v>7800</v>
      </c>
      <c r="K241" s="7">
        <v>70200</v>
      </c>
      <c r="L241" s="7">
        <v>43524</v>
      </c>
      <c r="M241" s="7">
        <v>26676</v>
      </c>
      <c r="N241" s="8">
        <v>0.38</v>
      </c>
    </row>
    <row r="242" spans="1:14" x14ac:dyDescent="0.25">
      <c r="A242" s="2" t="s">
        <v>290</v>
      </c>
      <c r="B242" s="3">
        <v>45476</v>
      </c>
      <c r="C242" s="2" t="s">
        <v>286</v>
      </c>
      <c r="D242" s="2" t="s">
        <v>287</v>
      </c>
      <c r="E242" s="2" t="s">
        <v>54</v>
      </c>
      <c r="F242" s="2" t="s">
        <v>42</v>
      </c>
      <c r="G242" s="2" t="s">
        <v>45</v>
      </c>
      <c r="H242" s="2" t="s">
        <v>46</v>
      </c>
      <c r="I242" s="2">
        <v>8</v>
      </c>
      <c r="J242" s="4">
        <v>9100</v>
      </c>
      <c r="K242" s="4">
        <v>72800</v>
      </c>
      <c r="L242" s="4">
        <v>43680</v>
      </c>
      <c r="M242" s="4">
        <v>29120</v>
      </c>
      <c r="N242" s="5">
        <v>0.4</v>
      </c>
    </row>
    <row r="243" spans="1:14" x14ac:dyDescent="0.25">
      <c r="A243" t="s">
        <v>291</v>
      </c>
      <c r="B243" s="6">
        <v>45477</v>
      </c>
      <c r="C243" t="s">
        <v>286</v>
      </c>
      <c r="D243" t="s">
        <v>287</v>
      </c>
      <c r="E243" t="s">
        <v>17</v>
      </c>
      <c r="F243" t="s">
        <v>42</v>
      </c>
      <c r="G243" t="s">
        <v>34</v>
      </c>
      <c r="H243" t="s">
        <v>35</v>
      </c>
      <c r="I243">
        <v>1</v>
      </c>
      <c r="J243" s="7">
        <v>4000</v>
      </c>
      <c r="K243" s="7">
        <v>4000</v>
      </c>
      <c r="L243" s="7">
        <v>1920</v>
      </c>
      <c r="M243" s="7">
        <v>2080</v>
      </c>
      <c r="N243" s="8">
        <v>0.52</v>
      </c>
    </row>
    <row r="244" spans="1:14" x14ac:dyDescent="0.25">
      <c r="A244" s="2" t="s">
        <v>292</v>
      </c>
      <c r="B244" s="3">
        <v>45478</v>
      </c>
      <c r="C244" s="2" t="s">
        <v>286</v>
      </c>
      <c r="D244" s="2" t="s">
        <v>287</v>
      </c>
      <c r="E244" s="2" t="s">
        <v>54</v>
      </c>
      <c r="F244" s="2" t="s">
        <v>33</v>
      </c>
      <c r="G244" s="2" t="s">
        <v>63</v>
      </c>
      <c r="H244" s="2" t="s">
        <v>46</v>
      </c>
      <c r="I244" s="2">
        <v>5</v>
      </c>
      <c r="J244" s="4">
        <v>7400</v>
      </c>
      <c r="K244" s="4">
        <v>37000</v>
      </c>
      <c r="L244" s="4">
        <v>22940</v>
      </c>
      <c r="M244" s="4">
        <v>14060</v>
      </c>
      <c r="N244" s="5">
        <v>0.38</v>
      </c>
    </row>
    <row r="245" spans="1:14" x14ac:dyDescent="0.25">
      <c r="A245" t="s">
        <v>293</v>
      </c>
      <c r="B245" s="6">
        <v>45480</v>
      </c>
      <c r="C245" t="s">
        <v>286</v>
      </c>
      <c r="D245" t="s">
        <v>287</v>
      </c>
      <c r="E245" t="s">
        <v>22</v>
      </c>
      <c r="F245" t="s">
        <v>33</v>
      </c>
      <c r="G245" t="s">
        <v>45</v>
      </c>
      <c r="H245" t="s">
        <v>46</v>
      </c>
      <c r="I245">
        <v>6</v>
      </c>
      <c r="J245" s="7">
        <v>9300</v>
      </c>
      <c r="K245" s="7">
        <v>55800</v>
      </c>
      <c r="L245" s="7">
        <v>33480</v>
      </c>
      <c r="M245" s="7">
        <v>22320</v>
      </c>
      <c r="N245" s="8">
        <v>0.4</v>
      </c>
    </row>
    <row r="246" spans="1:14" x14ac:dyDescent="0.25">
      <c r="A246" s="2" t="s">
        <v>294</v>
      </c>
      <c r="B246" s="3">
        <v>45480</v>
      </c>
      <c r="C246" s="2" t="s">
        <v>286</v>
      </c>
      <c r="D246" s="2" t="s">
        <v>287</v>
      </c>
      <c r="E246" s="2" t="s">
        <v>27</v>
      </c>
      <c r="F246" s="2" t="s">
        <v>59</v>
      </c>
      <c r="G246" s="2" t="s">
        <v>38</v>
      </c>
      <c r="H246" s="2" t="s">
        <v>39</v>
      </c>
      <c r="I246" s="2">
        <v>10</v>
      </c>
      <c r="J246" s="4">
        <v>13100</v>
      </c>
      <c r="K246" s="4">
        <v>131000</v>
      </c>
      <c r="L246" s="4">
        <v>78600</v>
      </c>
      <c r="M246" s="4">
        <v>52400</v>
      </c>
      <c r="N246" s="5">
        <v>0.4</v>
      </c>
    </row>
    <row r="247" spans="1:14" x14ac:dyDescent="0.25">
      <c r="A247" t="s">
        <v>295</v>
      </c>
      <c r="B247" s="6">
        <v>45481</v>
      </c>
      <c r="C247" t="s">
        <v>286</v>
      </c>
      <c r="D247" t="s">
        <v>287</v>
      </c>
      <c r="E247" t="s">
        <v>54</v>
      </c>
      <c r="F247" t="s">
        <v>28</v>
      </c>
      <c r="G247" t="s">
        <v>63</v>
      </c>
      <c r="H247" t="s">
        <v>46</v>
      </c>
      <c r="I247">
        <v>1</v>
      </c>
      <c r="J247" s="7">
        <v>8100</v>
      </c>
      <c r="K247" s="7">
        <v>8100</v>
      </c>
      <c r="L247" s="7">
        <v>5022</v>
      </c>
      <c r="M247" s="7">
        <v>3078</v>
      </c>
      <c r="N247" s="8">
        <v>0.38</v>
      </c>
    </row>
    <row r="248" spans="1:14" x14ac:dyDescent="0.25">
      <c r="A248" s="2" t="s">
        <v>296</v>
      </c>
      <c r="B248" s="3">
        <v>45481</v>
      </c>
      <c r="C248" s="2" t="s">
        <v>286</v>
      </c>
      <c r="D248" s="2" t="s">
        <v>287</v>
      </c>
      <c r="E248" s="2" t="s">
        <v>17</v>
      </c>
      <c r="F248" s="2" t="s">
        <v>18</v>
      </c>
      <c r="G248" s="2" t="s">
        <v>19</v>
      </c>
      <c r="H248" s="2" t="s">
        <v>20</v>
      </c>
      <c r="I248" s="2">
        <v>10</v>
      </c>
      <c r="J248" s="4">
        <v>5400</v>
      </c>
      <c r="K248" s="4">
        <v>54000</v>
      </c>
      <c r="L248" s="4">
        <v>29700</v>
      </c>
      <c r="M248" s="4">
        <v>24300</v>
      </c>
      <c r="N248" s="5">
        <v>0.45</v>
      </c>
    </row>
    <row r="249" spans="1:14" x14ac:dyDescent="0.25">
      <c r="A249" t="s">
        <v>297</v>
      </c>
      <c r="B249" s="6">
        <v>45481</v>
      </c>
      <c r="C249" t="s">
        <v>286</v>
      </c>
      <c r="D249" t="s">
        <v>287</v>
      </c>
      <c r="E249" t="s">
        <v>27</v>
      </c>
      <c r="F249" t="s">
        <v>33</v>
      </c>
      <c r="G249" t="s">
        <v>24</v>
      </c>
      <c r="H249" t="s">
        <v>25</v>
      </c>
      <c r="I249">
        <v>10</v>
      </c>
      <c r="J249" s="7">
        <v>15100</v>
      </c>
      <c r="K249" s="7">
        <v>151000</v>
      </c>
      <c r="L249" s="7">
        <v>87580</v>
      </c>
      <c r="M249" s="7">
        <v>63420</v>
      </c>
      <c r="N249" s="8">
        <v>0.42</v>
      </c>
    </row>
    <row r="250" spans="1:14" x14ac:dyDescent="0.25">
      <c r="A250" s="2" t="s">
        <v>298</v>
      </c>
      <c r="B250" s="3">
        <v>45482</v>
      </c>
      <c r="C250" s="2" t="s">
        <v>286</v>
      </c>
      <c r="D250" s="2" t="s">
        <v>287</v>
      </c>
      <c r="E250" s="2" t="s">
        <v>17</v>
      </c>
      <c r="F250" s="2" t="s">
        <v>23</v>
      </c>
      <c r="G250" s="2" t="s">
        <v>63</v>
      </c>
      <c r="H250" s="2" t="s">
        <v>46</v>
      </c>
      <c r="I250" s="2">
        <v>10</v>
      </c>
      <c r="J250" s="4">
        <v>8300</v>
      </c>
      <c r="K250" s="4">
        <v>83000</v>
      </c>
      <c r="L250" s="4">
        <v>51460</v>
      </c>
      <c r="M250" s="4">
        <v>31540</v>
      </c>
      <c r="N250" s="5">
        <v>0.38</v>
      </c>
    </row>
    <row r="251" spans="1:14" x14ac:dyDescent="0.25">
      <c r="A251" t="s">
        <v>299</v>
      </c>
      <c r="B251" s="6">
        <v>45482</v>
      </c>
      <c r="C251" t="s">
        <v>286</v>
      </c>
      <c r="D251" t="s">
        <v>287</v>
      </c>
      <c r="E251" t="s">
        <v>32</v>
      </c>
      <c r="F251" t="s">
        <v>28</v>
      </c>
      <c r="G251" t="s">
        <v>38</v>
      </c>
      <c r="H251" t="s">
        <v>39</v>
      </c>
      <c r="I251">
        <v>9</v>
      </c>
      <c r="J251" s="7">
        <v>12900</v>
      </c>
      <c r="K251" s="7">
        <v>116100</v>
      </c>
      <c r="L251" s="7">
        <v>69660</v>
      </c>
      <c r="M251" s="7">
        <v>46440</v>
      </c>
      <c r="N251" s="8">
        <v>0.4</v>
      </c>
    </row>
    <row r="252" spans="1:14" x14ac:dyDescent="0.25">
      <c r="A252" s="2" t="s">
        <v>300</v>
      </c>
      <c r="B252" s="3">
        <v>45483</v>
      </c>
      <c r="C252" s="2" t="s">
        <v>286</v>
      </c>
      <c r="D252" s="2" t="s">
        <v>287</v>
      </c>
      <c r="E252" s="2" t="s">
        <v>37</v>
      </c>
      <c r="F252" s="2" t="s">
        <v>33</v>
      </c>
      <c r="G252" s="2" t="s">
        <v>29</v>
      </c>
      <c r="H252" s="2" t="s">
        <v>30</v>
      </c>
      <c r="I252" s="2">
        <v>2</v>
      </c>
      <c r="J252" s="4">
        <v>2300</v>
      </c>
      <c r="K252" s="4">
        <v>4600</v>
      </c>
      <c r="L252" s="4">
        <v>2070</v>
      </c>
      <c r="M252" s="4">
        <v>2530</v>
      </c>
      <c r="N252" s="5">
        <v>0.55000000000000004</v>
      </c>
    </row>
    <row r="253" spans="1:14" x14ac:dyDescent="0.25">
      <c r="A253" t="s">
        <v>301</v>
      </c>
      <c r="B253" s="6">
        <v>45484</v>
      </c>
      <c r="C253" t="s">
        <v>286</v>
      </c>
      <c r="D253" t="s">
        <v>287</v>
      </c>
      <c r="E253" t="s">
        <v>32</v>
      </c>
      <c r="F253" t="s">
        <v>33</v>
      </c>
      <c r="G253" t="s">
        <v>24</v>
      </c>
      <c r="H253" t="s">
        <v>25</v>
      </c>
      <c r="I253">
        <v>9</v>
      </c>
      <c r="J253" s="7">
        <v>16500</v>
      </c>
      <c r="K253" s="7">
        <v>148500</v>
      </c>
      <c r="L253" s="7">
        <v>86130</v>
      </c>
      <c r="M253" s="7">
        <v>62370</v>
      </c>
      <c r="N253" s="8">
        <v>0.42</v>
      </c>
    </row>
    <row r="254" spans="1:14" x14ac:dyDescent="0.25">
      <c r="A254" s="2" t="s">
        <v>302</v>
      </c>
      <c r="B254" s="3">
        <v>45484</v>
      </c>
      <c r="C254" s="2" t="s">
        <v>286</v>
      </c>
      <c r="D254" s="2" t="s">
        <v>287</v>
      </c>
      <c r="E254" s="2" t="s">
        <v>27</v>
      </c>
      <c r="F254" s="2" t="s">
        <v>33</v>
      </c>
      <c r="G254" s="2" t="s">
        <v>63</v>
      </c>
      <c r="H254" s="2" t="s">
        <v>46</v>
      </c>
      <c r="I254" s="2">
        <v>10</v>
      </c>
      <c r="J254" s="4">
        <v>7500</v>
      </c>
      <c r="K254" s="4">
        <v>75000</v>
      </c>
      <c r="L254" s="4">
        <v>46500</v>
      </c>
      <c r="M254" s="4">
        <v>28500</v>
      </c>
      <c r="N254" s="5">
        <v>0.38</v>
      </c>
    </row>
    <row r="255" spans="1:14" x14ac:dyDescent="0.25">
      <c r="A255" t="s">
        <v>303</v>
      </c>
      <c r="B255" s="6">
        <v>45484</v>
      </c>
      <c r="C255" t="s">
        <v>286</v>
      </c>
      <c r="D255" t="s">
        <v>287</v>
      </c>
      <c r="E255" t="s">
        <v>27</v>
      </c>
      <c r="F255" t="s">
        <v>33</v>
      </c>
      <c r="G255" t="s">
        <v>38</v>
      </c>
      <c r="H255" t="s">
        <v>39</v>
      </c>
      <c r="I255">
        <v>9</v>
      </c>
      <c r="J255" s="7">
        <v>12800</v>
      </c>
      <c r="K255" s="7">
        <v>115200</v>
      </c>
      <c r="L255" s="7">
        <v>69120</v>
      </c>
      <c r="M255" s="7">
        <v>46080</v>
      </c>
      <c r="N255" s="8">
        <v>0.4</v>
      </c>
    </row>
    <row r="256" spans="1:14" x14ac:dyDescent="0.25">
      <c r="A256" s="2" t="s">
        <v>304</v>
      </c>
      <c r="B256" s="3">
        <v>45485</v>
      </c>
      <c r="C256" s="2" t="s">
        <v>286</v>
      </c>
      <c r="D256" s="2" t="s">
        <v>287</v>
      </c>
      <c r="E256" s="2" t="s">
        <v>17</v>
      </c>
      <c r="F256" s="2" t="s">
        <v>33</v>
      </c>
      <c r="G256" s="2" t="s">
        <v>50</v>
      </c>
      <c r="H256" s="2" t="s">
        <v>46</v>
      </c>
      <c r="I256" s="2">
        <v>4</v>
      </c>
      <c r="J256" s="4">
        <v>28000</v>
      </c>
      <c r="K256" s="4">
        <v>112000</v>
      </c>
      <c r="L256" s="4">
        <v>72800</v>
      </c>
      <c r="M256" s="4">
        <v>39200</v>
      </c>
      <c r="N256" s="5">
        <v>0.35</v>
      </c>
    </row>
    <row r="257" spans="1:14" x14ac:dyDescent="0.25">
      <c r="A257" t="s">
        <v>305</v>
      </c>
      <c r="B257" s="6">
        <v>45486</v>
      </c>
      <c r="C257" t="s">
        <v>286</v>
      </c>
      <c r="D257" t="s">
        <v>287</v>
      </c>
      <c r="E257" t="s">
        <v>17</v>
      </c>
      <c r="F257" t="s">
        <v>18</v>
      </c>
      <c r="G257" t="s">
        <v>24</v>
      </c>
      <c r="H257" t="s">
        <v>25</v>
      </c>
      <c r="I257">
        <v>8</v>
      </c>
      <c r="J257" s="7">
        <v>15900</v>
      </c>
      <c r="K257" s="7">
        <v>127200</v>
      </c>
      <c r="L257" s="7">
        <v>73776</v>
      </c>
      <c r="M257" s="7">
        <v>53424</v>
      </c>
      <c r="N257" s="8">
        <v>0.42</v>
      </c>
    </row>
    <row r="258" spans="1:14" x14ac:dyDescent="0.25">
      <c r="A258" s="2" t="s">
        <v>306</v>
      </c>
      <c r="B258" s="3">
        <v>45486</v>
      </c>
      <c r="C258" s="2" t="s">
        <v>286</v>
      </c>
      <c r="D258" s="2" t="s">
        <v>287</v>
      </c>
      <c r="E258" s="2" t="s">
        <v>54</v>
      </c>
      <c r="F258" s="2" t="s">
        <v>18</v>
      </c>
      <c r="G258" s="2" t="s">
        <v>34</v>
      </c>
      <c r="H258" s="2" t="s">
        <v>35</v>
      </c>
      <c r="I258" s="2">
        <v>3</v>
      </c>
      <c r="J258" s="4">
        <v>3900</v>
      </c>
      <c r="K258" s="4">
        <v>11700</v>
      </c>
      <c r="L258" s="4">
        <v>5616</v>
      </c>
      <c r="M258" s="4">
        <v>6084</v>
      </c>
      <c r="N258" s="5">
        <v>0.52</v>
      </c>
    </row>
    <row r="259" spans="1:14" x14ac:dyDescent="0.25">
      <c r="A259" t="s">
        <v>307</v>
      </c>
      <c r="B259" s="6">
        <v>45486</v>
      </c>
      <c r="C259" t="s">
        <v>286</v>
      </c>
      <c r="D259" t="s">
        <v>287</v>
      </c>
      <c r="E259" t="s">
        <v>54</v>
      </c>
      <c r="F259" t="s">
        <v>18</v>
      </c>
      <c r="G259" t="s">
        <v>63</v>
      </c>
      <c r="H259" t="s">
        <v>46</v>
      </c>
      <c r="I259">
        <v>6</v>
      </c>
      <c r="J259" s="7">
        <v>8700</v>
      </c>
      <c r="K259" s="7">
        <v>52200</v>
      </c>
      <c r="L259" s="7">
        <v>32364</v>
      </c>
      <c r="M259" s="7">
        <v>19836</v>
      </c>
      <c r="N259" s="8">
        <v>0.38</v>
      </c>
    </row>
    <row r="260" spans="1:14" x14ac:dyDescent="0.25">
      <c r="A260" s="2" t="s">
        <v>308</v>
      </c>
      <c r="B260" s="3">
        <v>45486</v>
      </c>
      <c r="C260" s="2" t="s">
        <v>286</v>
      </c>
      <c r="D260" s="2" t="s">
        <v>287</v>
      </c>
      <c r="E260" s="2" t="s">
        <v>37</v>
      </c>
      <c r="F260" s="2" t="s">
        <v>23</v>
      </c>
      <c r="G260" s="2" t="s">
        <v>24</v>
      </c>
      <c r="H260" s="2" t="s">
        <v>25</v>
      </c>
      <c r="I260" s="2">
        <v>7</v>
      </c>
      <c r="J260" s="4">
        <v>15200</v>
      </c>
      <c r="K260" s="4">
        <v>106400</v>
      </c>
      <c r="L260" s="4">
        <v>61712</v>
      </c>
      <c r="M260" s="4">
        <v>44688</v>
      </c>
      <c r="N260" s="5">
        <v>0.42</v>
      </c>
    </row>
    <row r="261" spans="1:14" x14ac:dyDescent="0.25">
      <c r="A261" t="s">
        <v>309</v>
      </c>
      <c r="B261" s="6">
        <v>45488</v>
      </c>
      <c r="C261" t="s">
        <v>286</v>
      </c>
      <c r="D261" t="s">
        <v>287</v>
      </c>
      <c r="E261" t="s">
        <v>17</v>
      </c>
      <c r="F261" t="s">
        <v>28</v>
      </c>
      <c r="G261" t="s">
        <v>45</v>
      </c>
      <c r="H261" t="s">
        <v>46</v>
      </c>
      <c r="I261">
        <v>7</v>
      </c>
      <c r="J261" s="7">
        <v>8300</v>
      </c>
      <c r="K261" s="7">
        <v>58100</v>
      </c>
      <c r="L261" s="7">
        <v>34860</v>
      </c>
      <c r="M261" s="7">
        <v>23240</v>
      </c>
      <c r="N261" s="8">
        <v>0.4</v>
      </c>
    </row>
    <row r="262" spans="1:14" x14ac:dyDescent="0.25">
      <c r="A262" s="2" t="s">
        <v>310</v>
      </c>
      <c r="B262" s="3">
        <v>45489</v>
      </c>
      <c r="C262" s="2" t="s">
        <v>286</v>
      </c>
      <c r="D262" s="2" t="s">
        <v>287</v>
      </c>
      <c r="E262" s="2" t="s">
        <v>17</v>
      </c>
      <c r="F262" s="2" t="s">
        <v>28</v>
      </c>
      <c r="G262" s="2" t="s">
        <v>34</v>
      </c>
      <c r="H262" s="2" t="s">
        <v>35</v>
      </c>
      <c r="I262" s="2">
        <v>8</v>
      </c>
      <c r="J262" s="4">
        <v>3700</v>
      </c>
      <c r="K262" s="4">
        <v>29600</v>
      </c>
      <c r="L262" s="4">
        <v>14208</v>
      </c>
      <c r="M262" s="4">
        <v>15392</v>
      </c>
      <c r="N262" s="5">
        <v>0.52</v>
      </c>
    </row>
    <row r="263" spans="1:14" x14ac:dyDescent="0.25">
      <c r="A263" t="s">
        <v>311</v>
      </c>
      <c r="B263" s="6">
        <v>45489</v>
      </c>
      <c r="C263" t="s">
        <v>286</v>
      </c>
      <c r="D263" t="s">
        <v>287</v>
      </c>
      <c r="E263" t="s">
        <v>27</v>
      </c>
      <c r="F263" t="s">
        <v>23</v>
      </c>
      <c r="G263" t="s">
        <v>63</v>
      </c>
      <c r="H263" t="s">
        <v>46</v>
      </c>
      <c r="I263">
        <v>1</v>
      </c>
      <c r="J263" s="7">
        <v>8200</v>
      </c>
      <c r="K263" s="7">
        <v>8200</v>
      </c>
      <c r="L263" s="7">
        <v>5084</v>
      </c>
      <c r="M263" s="7">
        <v>3116</v>
      </c>
      <c r="N263" s="8">
        <v>0.38</v>
      </c>
    </row>
    <row r="264" spans="1:14" x14ac:dyDescent="0.25">
      <c r="A264" s="2" t="s">
        <v>312</v>
      </c>
      <c r="B264" s="3">
        <v>45490</v>
      </c>
      <c r="C264" s="2" t="s">
        <v>286</v>
      </c>
      <c r="D264" s="2" t="s">
        <v>287</v>
      </c>
      <c r="E264" s="2" t="s">
        <v>54</v>
      </c>
      <c r="F264" s="2" t="s">
        <v>18</v>
      </c>
      <c r="G264" s="2" t="s">
        <v>24</v>
      </c>
      <c r="H264" s="2" t="s">
        <v>25</v>
      </c>
      <c r="I264" s="2">
        <v>1</v>
      </c>
      <c r="J264" s="4">
        <v>14500</v>
      </c>
      <c r="K264" s="4">
        <v>14500</v>
      </c>
      <c r="L264" s="4">
        <v>8410</v>
      </c>
      <c r="M264" s="4">
        <v>6090</v>
      </c>
      <c r="N264" s="5">
        <v>0.42</v>
      </c>
    </row>
    <row r="265" spans="1:14" x14ac:dyDescent="0.25">
      <c r="A265" t="s">
        <v>313</v>
      </c>
      <c r="B265" s="6">
        <v>45490</v>
      </c>
      <c r="C265" t="s">
        <v>286</v>
      </c>
      <c r="D265" t="s">
        <v>287</v>
      </c>
      <c r="E265" t="s">
        <v>37</v>
      </c>
      <c r="F265" t="s">
        <v>18</v>
      </c>
      <c r="G265" t="s">
        <v>29</v>
      </c>
      <c r="H265" t="s">
        <v>30</v>
      </c>
      <c r="I265">
        <v>6</v>
      </c>
      <c r="J265" s="7">
        <v>2400</v>
      </c>
      <c r="K265" s="7">
        <v>14400</v>
      </c>
      <c r="L265" s="7">
        <v>6480</v>
      </c>
      <c r="M265" s="7">
        <v>7920</v>
      </c>
      <c r="N265" s="8">
        <v>0.55000000000000004</v>
      </c>
    </row>
    <row r="266" spans="1:14" x14ac:dyDescent="0.25">
      <c r="A266" s="2" t="s">
        <v>314</v>
      </c>
      <c r="B266" s="3">
        <v>45490</v>
      </c>
      <c r="C266" s="2" t="s">
        <v>286</v>
      </c>
      <c r="D266" s="2" t="s">
        <v>287</v>
      </c>
      <c r="E266" s="2" t="s">
        <v>27</v>
      </c>
      <c r="F266" s="2" t="s">
        <v>23</v>
      </c>
      <c r="G266" s="2" t="s">
        <v>38</v>
      </c>
      <c r="H266" s="2" t="s">
        <v>39</v>
      </c>
      <c r="I266" s="2">
        <v>9</v>
      </c>
      <c r="J266" s="4">
        <v>13000</v>
      </c>
      <c r="K266" s="4">
        <v>117000</v>
      </c>
      <c r="L266" s="4">
        <v>70200</v>
      </c>
      <c r="M266" s="4">
        <v>46800</v>
      </c>
      <c r="N266" s="5">
        <v>0.4</v>
      </c>
    </row>
    <row r="267" spans="1:14" x14ac:dyDescent="0.25">
      <c r="A267" t="s">
        <v>315</v>
      </c>
      <c r="B267" s="6">
        <v>45494</v>
      </c>
      <c r="C267" t="s">
        <v>286</v>
      </c>
      <c r="D267" t="s">
        <v>287</v>
      </c>
      <c r="E267" t="s">
        <v>17</v>
      </c>
      <c r="F267" t="s">
        <v>33</v>
      </c>
      <c r="G267" t="s">
        <v>19</v>
      </c>
      <c r="H267" t="s">
        <v>20</v>
      </c>
      <c r="I267">
        <v>1</v>
      </c>
      <c r="J267" s="7">
        <v>4500</v>
      </c>
      <c r="K267" s="7">
        <v>4500</v>
      </c>
      <c r="L267" s="7">
        <v>2475</v>
      </c>
      <c r="M267" s="7">
        <v>2025</v>
      </c>
      <c r="N267" s="8">
        <v>0.45</v>
      </c>
    </row>
    <row r="268" spans="1:14" x14ac:dyDescent="0.25">
      <c r="A268" s="2" t="s">
        <v>316</v>
      </c>
      <c r="B268" s="3">
        <v>45494</v>
      </c>
      <c r="C268" s="2" t="s">
        <v>286</v>
      </c>
      <c r="D268" s="2" t="s">
        <v>287</v>
      </c>
      <c r="E268" s="2" t="s">
        <v>22</v>
      </c>
      <c r="F268" s="2" t="s">
        <v>28</v>
      </c>
      <c r="G268" s="2" t="s">
        <v>50</v>
      </c>
      <c r="H268" s="2" t="s">
        <v>46</v>
      </c>
      <c r="I268" s="2">
        <v>2</v>
      </c>
      <c r="J268" s="4">
        <v>24200</v>
      </c>
      <c r="K268" s="4">
        <v>48400</v>
      </c>
      <c r="L268" s="4">
        <v>31460</v>
      </c>
      <c r="M268" s="4">
        <v>16940</v>
      </c>
      <c r="N268" s="5">
        <v>0.35</v>
      </c>
    </row>
    <row r="269" spans="1:14" x14ac:dyDescent="0.25">
      <c r="A269" t="s">
        <v>317</v>
      </c>
      <c r="B269" s="6">
        <v>45494</v>
      </c>
      <c r="C269" t="s">
        <v>286</v>
      </c>
      <c r="D269" t="s">
        <v>287</v>
      </c>
      <c r="E269" t="s">
        <v>54</v>
      </c>
      <c r="F269" t="s">
        <v>42</v>
      </c>
      <c r="G269" t="s">
        <v>19</v>
      </c>
      <c r="H269" t="s">
        <v>20</v>
      </c>
      <c r="I269">
        <v>4</v>
      </c>
      <c r="J269" s="7">
        <v>5400</v>
      </c>
      <c r="K269" s="7">
        <v>21600</v>
      </c>
      <c r="L269" s="7">
        <v>11880</v>
      </c>
      <c r="M269" s="7">
        <v>9720</v>
      </c>
      <c r="N269" s="8">
        <v>0.45</v>
      </c>
    </row>
    <row r="270" spans="1:14" x14ac:dyDescent="0.25">
      <c r="A270" s="2" t="s">
        <v>318</v>
      </c>
      <c r="B270" s="3">
        <v>45497</v>
      </c>
      <c r="C270" s="2" t="s">
        <v>286</v>
      </c>
      <c r="D270" s="2" t="s">
        <v>287</v>
      </c>
      <c r="E270" s="2" t="s">
        <v>37</v>
      </c>
      <c r="F270" s="2" t="s">
        <v>59</v>
      </c>
      <c r="G270" s="2" t="s">
        <v>34</v>
      </c>
      <c r="H270" s="2" t="s">
        <v>35</v>
      </c>
      <c r="I270" s="2">
        <v>8</v>
      </c>
      <c r="J270" s="4">
        <v>3800</v>
      </c>
      <c r="K270" s="4">
        <v>30400</v>
      </c>
      <c r="L270" s="4">
        <v>14592</v>
      </c>
      <c r="M270" s="4">
        <v>15808</v>
      </c>
      <c r="N270" s="5">
        <v>0.52</v>
      </c>
    </row>
    <row r="271" spans="1:14" x14ac:dyDescent="0.25">
      <c r="A271" t="s">
        <v>319</v>
      </c>
      <c r="B271" s="6">
        <v>45497</v>
      </c>
      <c r="C271" t="s">
        <v>286</v>
      </c>
      <c r="D271" t="s">
        <v>287</v>
      </c>
      <c r="E271" t="s">
        <v>37</v>
      </c>
      <c r="F271" t="s">
        <v>28</v>
      </c>
      <c r="G271" t="s">
        <v>50</v>
      </c>
      <c r="H271" t="s">
        <v>46</v>
      </c>
      <c r="I271">
        <v>3</v>
      </c>
      <c r="J271" s="7">
        <v>22800</v>
      </c>
      <c r="K271" s="7">
        <v>68400</v>
      </c>
      <c r="L271" s="7">
        <v>44460</v>
      </c>
      <c r="M271" s="7">
        <v>23940</v>
      </c>
      <c r="N271" s="8">
        <v>0.35</v>
      </c>
    </row>
    <row r="272" spans="1:14" x14ac:dyDescent="0.25">
      <c r="A272" s="2" t="s">
        <v>320</v>
      </c>
      <c r="B272" s="3">
        <v>45498</v>
      </c>
      <c r="C272" s="2" t="s">
        <v>286</v>
      </c>
      <c r="D272" s="2" t="s">
        <v>287</v>
      </c>
      <c r="E272" s="2" t="s">
        <v>17</v>
      </c>
      <c r="F272" s="2" t="s">
        <v>23</v>
      </c>
      <c r="G272" s="2" t="s">
        <v>24</v>
      </c>
      <c r="H272" s="2" t="s">
        <v>25</v>
      </c>
      <c r="I272" s="2">
        <v>1</v>
      </c>
      <c r="J272" s="4">
        <v>13700</v>
      </c>
      <c r="K272" s="4">
        <v>13700</v>
      </c>
      <c r="L272" s="4">
        <v>7946</v>
      </c>
      <c r="M272" s="4">
        <v>5754</v>
      </c>
      <c r="N272" s="5">
        <v>0.42</v>
      </c>
    </row>
    <row r="273" spans="1:14" x14ac:dyDescent="0.25">
      <c r="A273" t="s">
        <v>321</v>
      </c>
      <c r="B273" s="6">
        <v>45499</v>
      </c>
      <c r="C273" t="s">
        <v>286</v>
      </c>
      <c r="D273" t="s">
        <v>287</v>
      </c>
      <c r="E273" t="s">
        <v>32</v>
      </c>
      <c r="F273" t="s">
        <v>28</v>
      </c>
      <c r="G273" t="s">
        <v>34</v>
      </c>
      <c r="H273" t="s">
        <v>35</v>
      </c>
      <c r="I273">
        <v>7</v>
      </c>
      <c r="J273" s="7">
        <v>3400</v>
      </c>
      <c r="K273" s="7">
        <v>23800</v>
      </c>
      <c r="L273" s="7">
        <v>11424</v>
      </c>
      <c r="M273" s="7">
        <v>12376</v>
      </c>
      <c r="N273" s="8">
        <v>0.52</v>
      </c>
    </row>
    <row r="274" spans="1:14" x14ac:dyDescent="0.25">
      <c r="A274" s="2" t="s">
        <v>322</v>
      </c>
      <c r="B274" s="3">
        <v>45501</v>
      </c>
      <c r="C274" s="2" t="s">
        <v>286</v>
      </c>
      <c r="D274" s="2" t="s">
        <v>287</v>
      </c>
      <c r="E274" s="2" t="s">
        <v>54</v>
      </c>
      <c r="F274" s="2" t="s">
        <v>18</v>
      </c>
      <c r="G274" s="2" t="s">
        <v>45</v>
      </c>
      <c r="H274" s="2" t="s">
        <v>46</v>
      </c>
      <c r="I274" s="2">
        <v>8</v>
      </c>
      <c r="J274" s="4">
        <v>9700</v>
      </c>
      <c r="K274" s="4">
        <v>77600</v>
      </c>
      <c r="L274" s="4">
        <v>46560</v>
      </c>
      <c r="M274" s="4">
        <v>31040</v>
      </c>
      <c r="N274" s="5">
        <v>0.4</v>
      </c>
    </row>
    <row r="275" spans="1:14" x14ac:dyDescent="0.25">
      <c r="A275" t="s">
        <v>323</v>
      </c>
      <c r="B275" s="6">
        <v>45501</v>
      </c>
      <c r="C275" t="s">
        <v>286</v>
      </c>
      <c r="D275" t="s">
        <v>287</v>
      </c>
      <c r="E275" t="s">
        <v>37</v>
      </c>
      <c r="F275" t="s">
        <v>18</v>
      </c>
      <c r="G275" t="s">
        <v>38</v>
      </c>
      <c r="H275" t="s">
        <v>39</v>
      </c>
      <c r="I275">
        <v>6</v>
      </c>
      <c r="J275" s="7">
        <v>11200</v>
      </c>
      <c r="K275" s="7">
        <v>67200</v>
      </c>
      <c r="L275" s="7">
        <v>40320</v>
      </c>
      <c r="M275" s="7">
        <v>26880</v>
      </c>
      <c r="N275" s="8">
        <v>0.4</v>
      </c>
    </row>
    <row r="276" spans="1:14" x14ac:dyDescent="0.25">
      <c r="A276" s="2" t="s">
        <v>324</v>
      </c>
      <c r="B276" s="3">
        <v>45501</v>
      </c>
      <c r="C276" s="2" t="s">
        <v>286</v>
      </c>
      <c r="D276" s="2" t="s">
        <v>287</v>
      </c>
      <c r="E276" s="2" t="s">
        <v>17</v>
      </c>
      <c r="F276" s="2" t="s">
        <v>59</v>
      </c>
      <c r="G276" s="2" t="s">
        <v>63</v>
      </c>
      <c r="H276" s="2" t="s">
        <v>46</v>
      </c>
      <c r="I276" s="2">
        <v>3</v>
      </c>
      <c r="J276" s="4">
        <v>7800</v>
      </c>
      <c r="K276" s="4">
        <v>23400</v>
      </c>
      <c r="L276" s="4">
        <v>14508</v>
      </c>
      <c r="M276" s="4">
        <v>8892</v>
      </c>
      <c r="N276" s="5">
        <v>0.38</v>
      </c>
    </row>
    <row r="277" spans="1:14" x14ac:dyDescent="0.25">
      <c r="A277" t="s">
        <v>325</v>
      </c>
      <c r="B277" s="6">
        <v>45501</v>
      </c>
      <c r="C277" t="s">
        <v>286</v>
      </c>
      <c r="D277" t="s">
        <v>287</v>
      </c>
      <c r="E277" t="s">
        <v>27</v>
      </c>
      <c r="F277" t="s">
        <v>28</v>
      </c>
      <c r="G277" t="s">
        <v>45</v>
      </c>
      <c r="H277" t="s">
        <v>46</v>
      </c>
      <c r="I277">
        <v>5</v>
      </c>
      <c r="J277" s="7">
        <v>8400</v>
      </c>
      <c r="K277" s="7">
        <v>42000</v>
      </c>
      <c r="L277" s="7">
        <v>25200</v>
      </c>
      <c r="M277" s="7">
        <v>16800</v>
      </c>
      <c r="N277" s="8">
        <v>0.4</v>
      </c>
    </row>
    <row r="278" spans="1:14" x14ac:dyDescent="0.25">
      <c r="A278" s="2" t="s">
        <v>326</v>
      </c>
      <c r="B278" s="3">
        <v>45502</v>
      </c>
      <c r="C278" s="2" t="s">
        <v>286</v>
      </c>
      <c r="D278" s="2" t="s">
        <v>287</v>
      </c>
      <c r="E278" s="2" t="s">
        <v>17</v>
      </c>
      <c r="F278" s="2" t="s">
        <v>18</v>
      </c>
      <c r="G278" s="2" t="s">
        <v>45</v>
      </c>
      <c r="H278" s="2" t="s">
        <v>46</v>
      </c>
      <c r="I278" s="2">
        <v>7</v>
      </c>
      <c r="J278" s="4">
        <v>8700</v>
      </c>
      <c r="K278" s="4">
        <v>60900</v>
      </c>
      <c r="L278" s="4">
        <v>36540</v>
      </c>
      <c r="M278" s="4">
        <v>24360</v>
      </c>
      <c r="N278" s="5">
        <v>0.4</v>
      </c>
    </row>
    <row r="279" spans="1:14" x14ac:dyDescent="0.25">
      <c r="A279" t="s">
        <v>327</v>
      </c>
      <c r="B279" s="6">
        <v>45502</v>
      </c>
      <c r="C279" t="s">
        <v>286</v>
      </c>
      <c r="D279" t="s">
        <v>287</v>
      </c>
      <c r="E279" t="s">
        <v>17</v>
      </c>
      <c r="F279" t="s">
        <v>59</v>
      </c>
      <c r="G279" t="s">
        <v>63</v>
      </c>
      <c r="H279" t="s">
        <v>46</v>
      </c>
      <c r="I279">
        <v>2</v>
      </c>
      <c r="J279" s="7">
        <v>7500</v>
      </c>
      <c r="K279" s="7">
        <v>15000</v>
      </c>
      <c r="L279" s="7">
        <v>9300</v>
      </c>
      <c r="M279" s="7">
        <v>5700</v>
      </c>
      <c r="N279" s="8">
        <v>0.38</v>
      </c>
    </row>
    <row r="280" spans="1:14" x14ac:dyDescent="0.25">
      <c r="A280" s="2" t="s">
        <v>328</v>
      </c>
      <c r="B280" s="3">
        <v>45504</v>
      </c>
      <c r="C280" s="2" t="s">
        <v>286</v>
      </c>
      <c r="D280" s="2" t="s">
        <v>287</v>
      </c>
      <c r="E280" s="2" t="s">
        <v>22</v>
      </c>
      <c r="F280" s="2" t="s">
        <v>59</v>
      </c>
      <c r="G280" s="2" t="s">
        <v>29</v>
      </c>
      <c r="H280" s="2" t="s">
        <v>30</v>
      </c>
      <c r="I280" s="2">
        <v>7</v>
      </c>
      <c r="J280" s="4">
        <v>2700</v>
      </c>
      <c r="K280" s="4">
        <v>18900</v>
      </c>
      <c r="L280" s="4">
        <v>8505</v>
      </c>
      <c r="M280" s="4">
        <v>10395</v>
      </c>
      <c r="N280" s="5">
        <v>0.55000000000000004</v>
      </c>
    </row>
    <row r="281" spans="1:14" x14ac:dyDescent="0.25">
      <c r="A281" t="s">
        <v>329</v>
      </c>
      <c r="B281" s="6">
        <v>45504</v>
      </c>
      <c r="C281" t="s">
        <v>286</v>
      </c>
      <c r="D281" t="s">
        <v>287</v>
      </c>
      <c r="E281" t="s">
        <v>54</v>
      </c>
      <c r="F281" t="s">
        <v>23</v>
      </c>
      <c r="G281" t="s">
        <v>63</v>
      </c>
      <c r="H281" t="s">
        <v>46</v>
      </c>
      <c r="I281">
        <v>9</v>
      </c>
      <c r="J281" s="7">
        <v>7600</v>
      </c>
      <c r="K281" s="7">
        <v>68400</v>
      </c>
      <c r="L281" s="7">
        <v>42408</v>
      </c>
      <c r="M281" s="7">
        <v>25992</v>
      </c>
      <c r="N281" s="8">
        <v>0.38</v>
      </c>
    </row>
    <row r="282" spans="1:14" x14ac:dyDescent="0.25">
      <c r="A282" s="2" t="s">
        <v>330</v>
      </c>
      <c r="B282" s="3">
        <v>45505</v>
      </c>
      <c r="C282" s="2" t="s">
        <v>331</v>
      </c>
      <c r="D282" s="2" t="s">
        <v>287</v>
      </c>
      <c r="E282" s="2" t="s">
        <v>27</v>
      </c>
      <c r="F282" s="2" t="s">
        <v>59</v>
      </c>
      <c r="G282" s="2" t="s">
        <v>19</v>
      </c>
      <c r="H282" s="2" t="s">
        <v>20</v>
      </c>
      <c r="I282" s="2">
        <v>6</v>
      </c>
      <c r="J282" s="4">
        <v>4700</v>
      </c>
      <c r="K282" s="4">
        <v>28200</v>
      </c>
      <c r="L282" s="4">
        <v>15510</v>
      </c>
      <c r="M282" s="4">
        <v>12690</v>
      </c>
      <c r="N282" s="5">
        <v>0.45</v>
      </c>
    </row>
    <row r="283" spans="1:14" x14ac:dyDescent="0.25">
      <c r="A283" t="s">
        <v>332</v>
      </c>
      <c r="B283" s="6">
        <v>45506</v>
      </c>
      <c r="C283" t="s">
        <v>331</v>
      </c>
      <c r="D283" t="s">
        <v>287</v>
      </c>
      <c r="E283" t="s">
        <v>37</v>
      </c>
      <c r="F283" t="s">
        <v>33</v>
      </c>
      <c r="G283" t="s">
        <v>24</v>
      </c>
      <c r="H283" t="s">
        <v>25</v>
      </c>
      <c r="I283">
        <v>4</v>
      </c>
      <c r="J283" s="7">
        <v>17000</v>
      </c>
      <c r="K283" s="7">
        <v>68000</v>
      </c>
      <c r="L283" s="7">
        <v>39440</v>
      </c>
      <c r="M283" s="7">
        <v>28560</v>
      </c>
      <c r="N283" s="8">
        <v>0.42</v>
      </c>
    </row>
    <row r="284" spans="1:14" x14ac:dyDescent="0.25">
      <c r="A284" s="2" t="s">
        <v>333</v>
      </c>
      <c r="B284" s="3">
        <v>45506</v>
      </c>
      <c r="C284" s="2" t="s">
        <v>331</v>
      </c>
      <c r="D284" s="2" t="s">
        <v>287</v>
      </c>
      <c r="E284" s="2" t="s">
        <v>54</v>
      </c>
      <c r="F284" s="2" t="s">
        <v>23</v>
      </c>
      <c r="G284" s="2" t="s">
        <v>29</v>
      </c>
      <c r="H284" s="2" t="s">
        <v>30</v>
      </c>
      <c r="I284" s="2">
        <v>3</v>
      </c>
      <c r="J284" s="4">
        <v>2900</v>
      </c>
      <c r="K284" s="4">
        <v>8700</v>
      </c>
      <c r="L284" s="4">
        <v>3915</v>
      </c>
      <c r="M284" s="4">
        <v>4785</v>
      </c>
      <c r="N284" s="5">
        <v>0.55000000000000004</v>
      </c>
    </row>
    <row r="285" spans="1:14" x14ac:dyDescent="0.25">
      <c r="A285" t="s">
        <v>334</v>
      </c>
      <c r="B285" s="6">
        <v>45506</v>
      </c>
      <c r="C285" t="s">
        <v>331</v>
      </c>
      <c r="D285" t="s">
        <v>287</v>
      </c>
      <c r="E285" t="s">
        <v>32</v>
      </c>
      <c r="F285" t="s">
        <v>23</v>
      </c>
      <c r="G285" t="s">
        <v>50</v>
      </c>
      <c r="H285" t="s">
        <v>46</v>
      </c>
      <c r="I285">
        <v>2</v>
      </c>
      <c r="J285" s="7">
        <v>24000</v>
      </c>
      <c r="K285" s="7">
        <v>48000</v>
      </c>
      <c r="L285" s="7">
        <v>31200</v>
      </c>
      <c r="M285" s="7">
        <v>16800</v>
      </c>
      <c r="N285" s="8">
        <v>0.35</v>
      </c>
    </row>
    <row r="286" spans="1:14" x14ac:dyDescent="0.25">
      <c r="A286" s="2" t="s">
        <v>335</v>
      </c>
      <c r="B286" s="3">
        <v>45506</v>
      </c>
      <c r="C286" s="2" t="s">
        <v>331</v>
      </c>
      <c r="D286" s="2" t="s">
        <v>287</v>
      </c>
      <c r="E286" s="2" t="s">
        <v>37</v>
      </c>
      <c r="F286" s="2" t="s">
        <v>23</v>
      </c>
      <c r="G286" s="2" t="s">
        <v>50</v>
      </c>
      <c r="H286" s="2" t="s">
        <v>46</v>
      </c>
      <c r="I286" s="2">
        <v>6</v>
      </c>
      <c r="J286" s="4">
        <v>27400</v>
      </c>
      <c r="K286" s="4">
        <v>164400</v>
      </c>
      <c r="L286" s="4">
        <v>106860</v>
      </c>
      <c r="M286" s="4">
        <v>57540</v>
      </c>
      <c r="N286" s="5">
        <v>0.35</v>
      </c>
    </row>
    <row r="287" spans="1:14" x14ac:dyDescent="0.25">
      <c r="A287" t="s">
        <v>336</v>
      </c>
      <c r="B287" s="6">
        <v>45508</v>
      </c>
      <c r="C287" t="s">
        <v>331</v>
      </c>
      <c r="D287" t="s">
        <v>287</v>
      </c>
      <c r="E287" t="s">
        <v>27</v>
      </c>
      <c r="F287" t="s">
        <v>23</v>
      </c>
      <c r="G287" t="s">
        <v>50</v>
      </c>
      <c r="H287" t="s">
        <v>46</v>
      </c>
      <c r="I287">
        <v>4</v>
      </c>
      <c r="J287" s="7">
        <v>22700</v>
      </c>
      <c r="K287" s="7">
        <v>90800</v>
      </c>
      <c r="L287" s="7">
        <v>59020</v>
      </c>
      <c r="M287" s="7">
        <v>31780</v>
      </c>
      <c r="N287" s="8">
        <v>0.35</v>
      </c>
    </row>
    <row r="288" spans="1:14" x14ac:dyDescent="0.25">
      <c r="A288" s="2" t="s">
        <v>337</v>
      </c>
      <c r="B288" s="3">
        <v>45508</v>
      </c>
      <c r="C288" s="2" t="s">
        <v>331</v>
      </c>
      <c r="D288" s="2" t="s">
        <v>287</v>
      </c>
      <c r="E288" s="2" t="s">
        <v>54</v>
      </c>
      <c r="F288" s="2" t="s">
        <v>18</v>
      </c>
      <c r="G288" s="2" t="s">
        <v>24</v>
      </c>
      <c r="H288" s="2" t="s">
        <v>25</v>
      </c>
      <c r="I288" s="2">
        <v>4</v>
      </c>
      <c r="J288" s="4">
        <v>14500</v>
      </c>
      <c r="K288" s="4">
        <v>58000</v>
      </c>
      <c r="L288" s="4">
        <v>33640</v>
      </c>
      <c r="M288" s="4">
        <v>24360</v>
      </c>
      <c r="N288" s="5">
        <v>0.42</v>
      </c>
    </row>
    <row r="289" spans="1:14" x14ac:dyDescent="0.25">
      <c r="A289" t="s">
        <v>338</v>
      </c>
      <c r="B289" s="6">
        <v>45509</v>
      </c>
      <c r="C289" t="s">
        <v>331</v>
      </c>
      <c r="D289" t="s">
        <v>287</v>
      </c>
      <c r="E289" t="s">
        <v>54</v>
      </c>
      <c r="F289" t="s">
        <v>42</v>
      </c>
      <c r="G289" t="s">
        <v>38</v>
      </c>
      <c r="H289" t="s">
        <v>39</v>
      </c>
      <c r="I289">
        <v>3</v>
      </c>
      <c r="J289" s="7">
        <v>12400</v>
      </c>
      <c r="K289" s="7">
        <v>37200</v>
      </c>
      <c r="L289" s="7">
        <v>22320</v>
      </c>
      <c r="M289" s="7">
        <v>14880</v>
      </c>
      <c r="N289" s="8">
        <v>0.4</v>
      </c>
    </row>
    <row r="290" spans="1:14" x14ac:dyDescent="0.25">
      <c r="A290" s="2" t="s">
        <v>339</v>
      </c>
      <c r="B290" s="3">
        <v>45509</v>
      </c>
      <c r="C290" s="2" t="s">
        <v>331</v>
      </c>
      <c r="D290" s="2" t="s">
        <v>287</v>
      </c>
      <c r="E290" s="2" t="s">
        <v>17</v>
      </c>
      <c r="F290" s="2" t="s">
        <v>28</v>
      </c>
      <c r="G290" s="2" t="s">
        <v>38</v>
      </c>
      <c r="H290" s="2" t="s">
        <v>39</v>
      </c>
      <c r="I290" s="2">
        <v>3</v>
      </c>
      <c r="J290" s="4">
        <v>12100</v>
      </c>
      <c r="K290" s="4">
        <v>36300</v>
      </c>
      <c r="L290" s="4">
        <v>21780</v>
      </c>
      <c r="M290" s="4">
        <v>14520</v>
      </c>
      <c r="N290" s="5">
        <v>0.4</v>
      </c>
    </row>
    <row r="291" spans="1:14" x14ac:dyDescent="0.25">
      <c r="A291" t="s">
        <v>340</v>
      </c>
      <c r="B291" s="6">
        <v>45510</v>
      </c>
      <c r="C291" t="s">
        <v>331</v>
      </c>
      <c r="D291" t="s">
        <v>287</v>
      </c>
      <c r="E291" t="s">
        <v>17</v>
      </c>
      <c r="F291" t="s">
        <v>18</v>
      </c>
      <c r="G291" t="s">
        <v>50</v>
      </c>
      <c r="H291" t="s">
        <v>46</v>
      </c>
      <c r="I291">
        <v>3</v>
      </c>
      <c r="J291" s="7">
        <v>23200</v>
      </c>
      <c r="K291" s="7">
        <v>69600</v>
      </c>
      <c r="L291" s="7">
        <v>45240</v>
      </c>
      <c r="M291" s="7">
        <v>24360</v>
      </c>
      <c r="N291" s="8">
        <v>0.35</v>
      </c>
    </row>
    <row r="292" spans="1:14" x14ac:dyDescent="0.25">
      <c r="A292" s="2" t="s">
        <v>341</v>
      </c>
      <c r="B292" s="3">
        <v>45512</v>
      </c>
      <c r="C292" s="2" t="s">
        <v>331</v>
      </c>
      <c r="D292" s="2" t="s">
        <v>287</v>
      </c>
      <c r="E292" s="2" t="s">
        <v>22</v>
      </c>
      <c r="F292" s="2" t="s">
        <v>23</v>
      </c>
      <c r="G292" s="2" t="s">
        <v>38</v>
      </c>
      <c r="H292" s="2" t="s">
        <v>39</v>
      </c>
      <c r="I292" s="2">
        <v>10</v>
      </c>
      <c r="J292" s="4">
        <v>11600</v>
      </c>
      <c r="K292" s="4">
        <v>116000</v>
      </c>
      <c r="L292" s="4">
        <v>69600</v>
      </c>
      <c r="M292" s="4">
        <v>46400</v>
      </c>
      <c r="N292" s="5">
        <v>0.4</v>
      </c>
    </row>
    <row r="293" spans="1:14" x14ac:dyDescent="0.25">
      <c r="A293" t="s">
        <v>342</v>
      </c>
      <c r="B293" s="6">
        <v>45513</v>
      </c>
      <c r="C293" t="s">
        <v>331</v>
      </c>
      <c r="D293" t="s">
        <v>287</v>
      </c>
      <c r="E293" t="s">
        <v>37</v>
      </c>
      <c r="F293" t="s">
        <v>42</v>
      </c>
      <c r="G293" t="s">
        <v>24</v>
      </c>
      <c r="H293" t="s">
        <v>25</v>
      </c>
      <c r="I293">
        <v>8</v>
      </c>
      <c r="J293" s="7">
        <v>15900</v>
      </c>
      <c r="K293" s="7">
        <v>127200</v>
      </c>
      <c r="L293" s="7">
        <v>73776</v>
      </c>
      <c r="M293" s="7">
        <v>53424</v>
      </c>
      <c r="N293" s="8">
        <v>0.42</v>
      </c>
    </row>
    <row r="294" spans="1:14" x14ac:dyDescent="0.25">
      <c r="A294" s="2" t="s">
        <v>343</v>
      </c>
      <c r="B294" s="3">
        <v>45513</v>
      </c>
      <c r="C294" s="2" t="s">
        <v>331</v>
      </c>
      <c r="D294" s="2" t="s">
        <v>287</v>
      </c>
      <c r="E294" s="2" t="s">
        <v>32</v>
      </c>
      <c r="F294" s="2" t="s">
        <v>23</v>
      </c>
      <c r="G294" s="2" t="s">
        <v>63</v>
      </c>
      <c r="H294" s="2" t="s">
        <v>46</v>
      </c>
      <c r="I294" s="2">
        <v>7</v>
      </c>
      <c r="J294" s="4">
        <v>8600</v>
      </c>
      <c r="K294" s="4">
        <v>60200</v>
      </c>
      <c r="L294" s="4">
        <v>37324</v>
      </c>
      <c r="M294" s="4">
        <v>22876</v>
      </c>
      <c r="N294" s="5">
        <v>0.38</v>
      </c>
    </row>
    <row r="295" spans="1:14" x14ac:dyDescent="0.25">
      <c r="A295" t="s">
        <v>344</v>
      </c>
      <c r="B295" s="6">
        <v>45514</v>
      </c>
      <c r="C295" t="s">
        <v>331</v>
      </c>
      <c r="D295" t="s">
        <v>287</v>
      </c>
      <c r="E295" t="s">
        <v>17</v>
      </c>
      <c r="F295" t="s">
        <v>23</v>
      </c>
      <c r="G295" t="s">
        <v>63</v>
      </c>
      <c r="H295" t="s">
        <v>46</v>
      </c>
      <c r="I295">
        <v>5</v>
      </c>
      <c r="J295" s="7">
        <v>8700</v>
      </c>
      <c r="K295" s="7">
        <v>43500</v>
      </c>
      <c r="L295" s="7">
        <v>26970</v>
      </c>
      <c r="M295" s="7">
        <v>16530</v>
      </c>
      <c r="N295" s="8">
        <v>0.38</v>
      </c>
    </row>
    <row r="296" spans="1:14" x14ac:dyDescent="0.25">
      <c r="A296" s="2" t="s">
        <v>345</v>
      </c>
      <c r="B296" s="3">
        <v>45514</v>
      </c>
      <c r="C296" s="2" t="s">
        <v>331</v>
      </c>
      <c r="D296" s="2" t="s">
        <v>287</v>
      </c>
      <c r="E296" s="2" t="s">
        <v>17</v>
      </c>
      <c r="F296" s="2" t="s">
        <v>18</v>
      </c>
      <c r="G296" s="2" t="s">
        <v>24</v>
      </c>
      <c r="H296" s="2" t="s">
        <v>25</v>
      </c>
      <c r="I296" s="2">
        <v>2</v>
      </c>
      <c r="J296" s="4">
        <v>15600</v>
      </c>
      <c r="K296" s="4">
        <v>31200</v>
      </c>
      <c r="L296" s="4">
        <v>18096</v>
      </c>
      <c r="M296" s="4">
        <v>13104</v>
      </c>
      <c r="N296" s="5">
        <v>0.42</v>
      </c>
    </row>
    <row r="297" spans="1:14" x14ac:dyDescent="0.25">
      <c r="A297" t="s">
        <v>346</v>
      </c>
      <c r="B297" s="6">
        <v>45516</v>
      </c>
      <c r="C297" t="s">
        <v>331</v>
      </c>
      <c r="D297" t="s">
        <v>287</v>
      </c>
      <c r="E297" t="s">
        <v>37</v>
      </c>
      <c r="F297" t="s">
        <v>28</v>
      </c>
      <c r="G297" t="s">
        <v>38</v>
      </c>
      <c r="H297" t="s">
        <v>39</v>
      </c>
      <c r="I297">
        <v>7</v>
      </c>
      <c r="J297" s="7">
        <v>12600</v>
      </c>
      <c r="K297" s="7">
        <v>88200</v>
      </c>
      <c r="L297" s="7">
        <v>52920</v>
      </c>
      <c r="M297" s="7">
        <v>35280</v>
      </c>
      <c r="N297" s="8">
        <v>0.4</v>
      </c>
    </row>
    <row r="298" spans="1:14" x14ac:dyDescent="0.25">
      <c r="A298" s="2" t="s">
        <v>347</v>
      </c>
      <c r="B298" s="3">
        <v>45516</v>
      </c>
      <c r="C298" s="2" t="s">
        <v>331</v>
      </c>
      <c r="D298" s="2" t="s">
        <v>287</v>
      </c>
      <c r="E298" s="2" t="s">
        <v>27</v>
      </c>
      <c r="F298" s="2" t="s">
        <v>33</v>
      </c>
      <c r="G298" s="2" t="s">
        <v>45</v>
      </c>
      <c r="H298" s="2" t="s">
        <v>46</v>
      </c>
      <c r="I298" s="2">
        <v>10</v>
      </c>
      <c r="J298" s="4">
        <v>8400</v>
      </c>
      <c r="K298" s="4">
        <v>84000</v>
      </c>
      <c r="L298" s="4">
        <v>50400</v>
      </c>
      <c r="M298" s="4">
        <v>33600</v>
      </c>
      <c r="N298" s="5">
        <v>0.4</v>
      </c>
    </row>
    <row r="299" spans="1:14" x14ac:dyDescent="0.25">
      <c r="A299" t="s">
        <v>348</v>
      </c>
      <c r="B299" s="6">
        <v>45516</v>
      </c>
      <c r="C299" t="s">
        <v>331</v>
      </c>
      <c r="D299" t="s">
        <v>287</v>
      </c>
      <c r="E299" t="s">
        <v>22</v>
      </c>
      <c r="F299" t="s">
        <v>23</v>
      </c>
      <c r="G299" t="s">
        <v>50</v>
      </c>
      <c r="H299" t="s">
        <v>46</v>
      </c>
      <c r="I299">
        <v>4</v>
      </c>
      <c r="J299" s="7">
        <v>25100</v>
      </c>
      <c r="K299" s="7">
        <v>100400</v>
      </c>
      <c r="L299" s="7">
        <v>65260</v>
      </c>
      <c r="M299" s="7">
        <v>35140</v>
      </c>
      <c r="N299" s="8">
        <v>0.35</v>
      </c>
    </row>
    <row r="300" spans="1:14" x14ac:dyDescent="0.25">
      <c r="A300" s="2" t="s">
        <v>349</v>
      </c>
      <c r="B300" s="3">
        <v>45516</v>
      </c>
      <c r="C300" s="2" t="s">
        <v>331</v>
      </c>
      <c r="D300" s="2" t="s">
        <v>287</v>
      </c>
      <c r="E300" s="2" t="s">
        <v>37</v>
      </c>
      <c r="F300" s="2" t="s">
        <v>28</v>
      </c>
      <c r="G300" s="2" t="s">
        <v>50</v>
      </c>
      <c r="H300" s="2" t="s">
        <v>46</v>
      </c>
      <c r="I300" s="2">
        <v>4</v>
      </c>
      <c r="J300" s="4">
        <v>23300</v>
      </c>
      <c r="K300" s="4">
        <v>93200</v>
      </c>
      <c r="L300" s="4">
        <v>60580</v>
      </c>
      <c r="M300" s="4">
        <v>32620</v>
      </c>
      <c r="N300" s="5">
        <v>0.35</v>
      </c>
    </row>
    <row r="301" spans="1:14" x14ac:dyDescent="0.25">
      <c r="A301" t="s">
        <v>350</v>
      </c>
      <c r="B301" s="6">
        <v>45517</v>
      </c>
      <c r="C301" t="s">
        <v>331</v>
      </c>
      <c r="D301" t="s">
        <v>287</v>
      </c>
      <c r="E301" t="s">
        <v>22</v>
      </c>
      <c r="F301" t="s">
        <v>33</v>
      </c>
      <c r="G301" t="s">
        <v>34</v>
      </c>
      <c r="H301" t="s">
        <v>35</v>
      </c>
      <c r="I301">
        <v>3</v>
      </c>
      <c r="J301" s="7">
        <v>3400</v>
      </c>
      <c r="K301" s="7">
        <v>10200</v>
      </c>
      <c r="L301" s="7">
        <v>4896</v>
      </c>
      <c r="M301" s="7">
        <v>5304</v>
      </c>
      <c r="N301" s="8">
        <v>0.52</v>
      </c>
    </row>
    <row r="302" spans="1:14" x14ac:dyDescent="0.25">
      <c r="A302" s="2" t="s">
        <v>351</v>
      </c>
      <c r="B302" s="3">
        <v>45518</v>
      </c>
      <c r="C302" s="2" t="s">
        <v>331</v>
      </c>
      <c r="D302" s="2" t="s">
        <v>287</v>
      </c>
      <c r="E302" s="2" t="s">
        <v>32</v>
      </c>
      <c r="F302" s="2" t="s">
        <v>18</v>
      </c>
      <c r="G302" s="2" t="s">
        <v>38</v>
      </c>
      <c r="H302" s="2" t="s">
        <v>39</v>
      </c>
      <c r="I302" s="2">
        <v>9</v>
      </c>
      <c r="J302" s="4">
        <v>11000</v>
      </c>
      <c r="K302" s="4">
        <v>99000</v>
      </c>
      <c r="L302" s="4">
        <v>59400</v>
      </c>
      <c r="M302" s="4">
        <v>39600</v>
      </c>
      <c r="N302" s="5">
        <v>0.4</v>
      </c>
    </row>
    <row r="303" spans="1:14" x14ac:dyDescent="0.25">
      <c r="A303" t="s">
        <v>352</v>
      </c>
      <c r="B303" s="6">
        <v>45518</v>
      </c>
      <c r="C303" t="s">
        <v>331</v>
      </c>
      <c r="D303" t="s">
        <v>287</v>
      </c>
      <c r="E303" t="s">
        <v>27</v>
      </c>
      <c r="F303" t="s">
        <v>28</v>
      </c>
      <c r="G303" t="s">
        <v>50</v>
      </c>
      <c r="H303" t="s">
        <v>46</v>
      </c>
      <c r="I303">
        <v>9</v>
      </c>
      <c r="J303" s="7">
        <v>23800</v>
      </c>
      <c r="K303" s="7">
        <v>214200</v>
      </c>
      <c r="L303" s="7">
        <v>139230</v>
      </c>
      <c r="M303" s="7">
        <v>74970</v>
      </c>
      <c r="N303" s="8">
        <v>0.35</v>
      </c>
    </row>
    <row r="304" spans="1:14" x14ac:dyDescent="0.25">
      <c r="A304" s="2" t="s">
        <v>353</v>
      </c>
      <c r="B304" s="3">
        <v>45518</v>
      </c>
      <c r="C304" s="2" t="s">
        <v>331</v>
      </c>
      <c r="D304" s="2" t="s">
        <v>287</v>
      </c>
      <c r="E304" s="2" t="s">
        <v>32</v>
      </c>
      <c r="F304" s="2" t="s">
        <v>28</v>
      </c>
      <c r="G304" s="2" t="s">
        <v>34</v>
      </c>
      <c r="H304" s="2" t="s">
        <v>35</v>
      </c>
      <c r="I304" s="2">
        <v>9</v>
      </c>
      <c r="J304" s="4">
        <v>3400</v>
      </c>
      <c r="K304" s="4">
        <v>30600</v>
      </c>
      <c r="L304" s="4">
        <v>14688</v>
      </c>
      <c r="M304" s="4">
        <v>15912</v>
      </c>
      <c r="N304" s="5">
        <v>0.52</v>
      </c>
    </row>
    <row r="305" spans="1:14" x14ac:dyDescent="0.25">
      <c r="A305" t="s">
        <v>354</v>
      </c>
      <c r="B305" s="6">
        <v>45520</v>
      </c>
      <c r="C305" t="s">
        <v>331</v>
      </c>
      <c r="D305" t="s">
        <v>287</v>
      </c>
      <c r="E305" t="s">
        <v>32</v>
      </c>
      <c r="F305" t="s">
        <v>18</v>
      </c>
      <c r="G305" t="s">
        <v>24</v>
      </c>
      <c r="H305" t="s">
        <v>25</v>
      </c>
      <c r="I305">
        <v>10</v>
      </c>
      <c r="J305" s="7">
        <v>13800</v>
      </c>
      <c r="K305" s="7">
        <v>138000</v>
      </c>
      <c r="L305" s="7">
        <v>80040</v>
      </c>
      <c r="M305" s="7">
        <v>57960</v>
      </c>
      <c r="N305" s="8">
        <v>0.42</v>
      </c>
    </row>
    <row r="306" spans="1:14" x14ac:dyDescent="0.25">
      <c r="A306" s="2" t="s">
        <v>355</v>
      </c>
      <c r="B306" s="3">
        <v>45521</v>
      </c>
      <c r="C306" s="2" t="s">
        <v>331</v>
      </c>
      <c r="D306" s="2" t="s">
        <v>287</v>
      </c>
      <c r="E306" s="2" t="s">
        <v>27</v>
      </c>
      <c r="F306" s="2" t="s">
        <v>33</v>
      </c>
      <c r="G306" s="2" t="s">
        <v>19</v>
      </c>
      <c r="H306" s="2" t="s">
        <v>20</v>
      </c>
      <c r="I306" s="2">
        <v>1</v>
      </c>
      <c r="J306" s="4">
        <v>5500</v>
      </c>
      <c r="K306" s="4">
        <v>5500</v>
      </c>
      <c r="L306" s="4">
        <v>3025</v>
      </c>
      <c r="M306" s="4">
        <v>2475</v>
      </c>
      <c r="N306" s="5">
        <v>0.45</v>
      </c>
    </row>
    <row r="307" spans="1:14" x14ac:dyDescent="0.25">
      <c r="A307" t="s">
        <v>356</v>
      </c>
      <c r="B307" s="6">
        <v>45522</v>
      </c>
      <c r="C307" t="s">
        <v>331</v>
      </c>
      <c r="D307" t="s">
        <v>287</v>
      </c>
      <c r="E307" t="s">
        <v>17</v>
      </c>
      <c r="F307" t="s">
        <v>42</v>
      </c>
      <c r="G307" t="s">
        <v>29</v>
      </c>
      <c r="H307" t="s">
        <v>30</v>
      </c>
      <c r="I307">
        <v>8</v>
      </c>
      <c r="J307" s="7">
        <v>2500</v>
      </c>
      <c r="K307" s="7">
        <v>20000</v>
      </c>
      <c r="L307" s="7">
        <v>9000</v>
      </c>
      <c r="M307" s="7">
        <v>11000</v>
      </c>
      <c r="N307" s="8">
        <v>0.55000000000000004</v>
      </c>
    </row>
    <row r="308" spans="1:14" x14ac:dyDescent="0.25">
      <c r="A308" s="2" t="s">
        <v>357</v>
      </c>
      <c r="B308" s="3">
        <v>45522</v>
      </c>
      <c r="C308" s="2" t="s">
        <v>331</v>
      </c>
      <c r="D308" s="2" t="s">
        <v>287</v>
      </c>
      <c r="E308" s="2" t="s">
        <v>27</v>
      </c>
      <c r="F308" s="2" t="s">
        <v>23</v>
      </c>
      <c r="G308" s="2" t="s">
        <v>45</v>
      </c>
      <c r="H308" s="2" t="s">
        <v>46</v>
      </c>
      <c r="I308" s="2">
        <v>6</v>
      </c>
      <c r="J308" s="4">
        <v>9600</v>
      </c>
      <c r="K308" s="4">
        <v>57600</v>
      </c>
      <c r="L308" s="4">
        <v>34560</v>
      </c>
      <c r="M308" s="4">
        <v>23040</v>
      </c>
      <c r="N308" s="5">
        <v>0.4</v>
      </c>
    </row>
    <row r="309" spans="1:14" x14ac:dyDescent="0.25">
      <c r="A309" t="s">
        <v>358</v>
      </c>
      <c r="B309" s="6">
        <v>45522</v>
      </c>
      <c r="C309" t="s">
        <v>331</v>
      </c>
      <c r="D309" t="s">
        <v>287</v>
      </c>
      <c r="E309" t="s">
        <v>37</v>
      </c>
      <c r="F309" t="s">
        <v>23</v>
      </c>
      <c r="G309" t="s">
        <v>19</v>
      </c>
      <c r="H309" t="s">
        <v>20</v>
      </c>
      <c r="I309">
        <v>10</v>
      </c>
      <c r="J309" s="7">
        <v>5500</v>
      </c>
      <c r="K309" s="7">
        <v>55000</v>
      </c>
      <c r="L309" s="7">
        <v>30250</v>
      </c>
      <c r="M309" s="7">
        <v>24750</v>
      </c>
      <c r="N309" s="8">
        <v>0.45</v>
      </c>
    </row>
    <row r="310" spans="1:14" x14ac:dyDescent="0.25">
      <c r="A310" s="2" t="s">
        <v>359</v>
      </c>
      <c r="B310" s="3">
        <v>45522</v>
      </c>
      <c r="C310" s="2" t="s">
        <v>331</v>
      </c>
      <c r="D310" s="2" t="s">
        <v>287</v>
      </c>
      <c r="E310" s="2" t="s">
        <v>32</v>
      </c>
      <c r="F310" s="2" t="s">
        <v>28</v>
      </c>
      <c r="G310" s="2" t="s">
        <v>24</v>
      </c>
      <c r="H310" s="2" t="s">
        <v>25</v>
      </c>
      <c r="I310" s="2">
        <v>4</v>
      </c>
      <c r="J310" s="4">
        <v>13800</v>
      </c>
      <c r="K310" s="4">
        <v>55200</v>
      </c>
      <c r="L310" s="4">
        <v>32016</v>
      </c>
      <c r="M310" s="4">
        <v>23184</v>
      </c>
      <c r="N310" s="5">
        <v>0.42</v>
      </c>
    </row>
    <row r="311" spans="1:14" x14ac:dyDescent="0.25">
      <c r="A311" t="s">
        <v>360</v>
      </c>
      <c r="B311" s="6">
        <v>45523</v>
      </c>
      <c r="C311" t="s">
        <v>331</v>
      </c>
      <c r="D311" t="s">
        <v>287</v>
      </c>
      <c r="E311" t="s">
        <v>54</v>
      </c>
      <c r="F311" t="s">
        <v>18</v>
      </c>
      <c r="G311" t="s">
        <v>38</v>
      </c>
      <c r="H311" t="s">
        <v>39</v>
      </c>
      <c r="I311">
        <v>2</v>
      </c>
      <c r="J311" s="7">
        <v>11500</v>
      </c>
      <c r="K311" s="7">
        <v>23000</v>
      </c>
      <c r="L311" s="7">
        <v>13800</v>
      </c>
      <c r="M311" s="7">
        <v>9200</v>
      </c>
      <c r="N311" s="8">
        <v>0.4</v>
      </c>
    </row>
    <row r="312" spans="1:14" x14ac:dyDescent="0.25">
      <c r="A312" s="2" t="s">
        <v>361</v>
      </c>
      <c r="B312" s="3">
        <v>45523</v>
      </c>
      <c r="C312" s="2" t="s">
        <v>331</v>
      </c>
      <c r="D312" s="2" t="s">
        <v>287</v>
      </c>
      <c r="E312" s="2" t="s">
        <v>37</v>
      </c>
      <c r="F312" s="2" t="s">
        <v>18</v>
      </c>
      <c r="G312" s="2" t="s">
        <v>24</v>
      </c>
      <c r="H312" s="2" t="s">
        <v>25</v>
      </c>
      <c r="I312" s="2">
        <v>1</v>
      </c>
      <c r="J312" s="4">
        <v>13800</v>
      </c>
      <c r="K312" s="4">
        <v>13800</v>
      </c>
      <c r="L312" s="4">
        <v>8004</v>
      </c>
      <c r="M312" s="4">
        <v>5796</v>
      </c>
      <c r="N312" s="5">
        <v>0.42</v>
      </c>
    </row>
    <row r="313" spans="1:14" x14ac:dyDescent="0.25">
      <c r="A313" t="s">
        <v>362</v>
      </c>
      <c r="B313" s="6">
        <v>45524</v>
      </c>
      <c r="C313" t="s">
        <v>331</v>
      </c>
      <c r="D313" t="s">
        <v>287</v>
      </c>
      <c r="E313" t="s">
        <v>32</v>
      </c>
      <c r="F313" t="s">
        <v>59</v>
      </c>
      <c r="G313" t="s">
        <v>38</v>
      </c>
      <c r="H313" t="s">
        <v>39</v>
      </c>
      <c r="I313">
        <v>6</v>
      </c>
      <c r="J313" s="7">
        <v>11700</v>
      </c>
      <c r="K313" s="7">
        <v>70200</v>
      </c>
      <c r="L313" s="7">
        <v>42120</v>
      </c>
      <c r="M313" s="7">
        <v>28080</v>
      </c>
      <c r="N313" s="8">
        <v>0.4</v>
      </c>
    </row>
    <row r="314" spans="1:14" x14ac:dyDescent="0.25">
      <c r="A314" s="2" t="s">
        <v>363</v>
      </c>
      <c r="B314" s="3">
        <v>45524</v>
      </c>
      <c r="C314" s="2" t="s">
        <v>331</v>
      </c>
      <c r="D314" s="2" t="s">
        <v>287</v>
      </c>
      <c r="E314" s="2" t="s">
        <v>22</v>
      </c>
      <c r="F314" s="2" t="s">
        <v>23</v>
      </c>
      <c r="G314" s="2" t="s">
        <v>24</v>
      </c>
      <c r="H314" s="2" t="s">
        <v>25</v>
      </c>
      <c r="I314" s="2">
        <v>9</v>
      </c>
      <c r="J314" s="4">
        <v>16000</v>
      </c>
      <c r="K314" s="4">
        <v>144000</v>
      </c>
      <c r="L314" s="4">
        <v>83520</v>
      </c>
      <c r="M314" s="4">
        <v>60480</v>
      </c>
      <c r="N314" s="5">
        <v>0.42</v>
      </c>
    </row>
    <row r="315" spans="1:14" x14ac:dyDescent="0.25">
      <c r="A315" t="s">
        <v>364</v>
      </c>
      <c r="B315" s="6">
        <v>45524</v>
      </c>
      <c r="C315" t="s">
        <v>331</v>
      </c>
      <c r="D315" t="s">
        <v>287</v>
      </c>
      <c r="E315" t="s">
        <v>37</v>
      </c>
      <c r="F315" t="s">
        <v>33</v>
      </c>
      <c r="G315" t="s">
        <v>34</v>
      </c>
      <c r="H315" t="s">
        <v>35</v>
      </c>
      <c r="I315">
        <v>2</v>
      </c>
      <c r="J315" s="7">
        <v>3200</v>
      </c>
      <c r="K315" s="7">
        <v>6400</v>
      </c>
      <c r="L315" s="7">
        <v>3072</v>
      </c>
      <c r="M315" s="7">
        <v>3328</v>
      </c>
      <c r="N315" s="8">
        <v>0.52</v>
      </c>
    </row>
    <row r="316" spans="1:14" x14ac:dyDescent="0.25">
      <c r="A316" s="2" t="s">
        <v>365</v>
      </c>
      <c r="B316" s="3">
        <v>45524</v>
      </c>
      <c r="C316" s="2" t="s">
        <v>331</v>
      </c>
      <c r="D316" s="2" t="s">
        <v>287</v>
      </c>
      <c r="E316" s="2" t="s">
        <v>54</v>
      </c>
      <c r="F316" s="2" t="s">
        <v>59</v>
      </c>
      <c r="G316" s="2" t="s">
        <v>34</v>
      </c>
      <c r="H316" s="2" t="s">
        <v>35</v>
      </c>
      <c r="I316" s="2">
        <v>2</v>
      </c>
      <c r="J316" s="4">
        <v>3500</v>
      </c>
      <c r="K316" s="4">
        <v>7000</v>
      </c>
      <c r="L316" s="4">
        <v>3360</v>
      </c>
      <c r="M316" s="4">
        <v>3640</v>
      </c>
      <c r="N316" s="5">
        <v>0.52</v>
      </c>
    </row>
    <row r="317" spans="1:14" x14ac:dyDescent="0.25">
      <c r="A317" t="s">
        <v>366</v>
      </c>
      <c r="B317" s="6">
        <v>45525</v>
      </c>
      <c r="C317" t="s">
        <v>331</v>
      </c>
      <c r="D317" t="s">
        <v>287</v>
      </c>
      <c r="E317" t="s">
        <v>37</v>
      </c>
      <c r="F317" t="s">
        <v>42</v>
      </c>
      <c r="G317" t="s">
        <v>50</v>
      </c>
      <c r="H317" t="s">
        <v>46</v>
      </c>
      <c r="I317">
        <v>7</v>
      </c>
      <c r="J317" s="7">
        <v>27000</v>
      </c>
      <c r="K317" s="7">
        <v>189000</v>
      </c>
      <c r="L317" s="7">
        <v>122850</v>
      </c>
      <c r="M317" s="7">
        <v>66150</v>
      </c>
      <c r="N317" s="8">
        <v>0.35</v>
      </c>
    </row>
    <row r="318" spans="1:14" x14ac:dyDescent="0.25">
      <c r="A318" s="2" t="s">
        <v>367</v>
      </c>
      <c r="B318" s="3">
        <v>45526</v>
      </c>
      <c r="C318" s="2" t="s">
        <v>331</v>
      </c>
      <c r="D318" s="2" t="s">
        <v>287</v>
      </c>
      <c r="E318" s="2" t="s">
        <v>32</v>
      </c>
      <c r="F318" s="2" t="s">
        <v>18</v>
      </c>
      <c r="G318" s="2" t="s">
        <v>29</v>
      </c>
      <c r="H318" s="2" t="s">
        <v>30</v>
      </c>
      <c r="I318" s="2">
        <v>6</v>
      </c>
      <c r="J318" s="4">
        <v>2400</v>
      </c>
      <c r="K318" s="4">
        <v>14400</v>
      </c>
      <c r="L318" s="4">
        <v>6480</v>
      </c>
      <c r="M318" s="4">
        <v>7920</v>
      </c>
      <c r="N318" s="5">
        <v>0.55000000000000004</v>
      </c>
    </row>
    <row r="319" spans="1:14" x14ac:dyDescent="0.25">
      <c r="A319" t="s">
        <v>368</v>
      </c>
      <c r="B319" s="6">
        <v>45526</v>
      </c>
      <c r="C319" t="s">
        <v>331</v>
      </c>
      <c r="D319" t="s">
        <v>287</v>
      </c>
      <c r="E319" t="s">
        <v>37</v>
      </c>
      <c r="F319" t="s">
        <v>28</v>
      </c>
      <c r="G319" t="s">
        <v>19</v>
      </c>
      <c r="H319" t="s">
        <v>20</v>
      </c>
      <c r="I319">
        <v>1</v>
      </c>
      <c r="J319" s="7">
        <v>5400</v>
      </c>
      <c r="K319" s="7">
        <v>5400</v>
      </c>
      <c r="L319" s="7">
        <v>2970</v>
      </c>
      <c r="M319" s="7">
        <v>2430</v>
      </c>
      <c r="N319" s="8">
        <v>0.45</v>
      </c>
    </row>
    <row r="320" spans="1:14" x14ac:dyDescent="0.25">
      <c r="A320" s="2" t="s">
        <v>369</v>
      </c>
      <c r="B320" s="3">
        <v>45527</v>
      </c>
      <c r="C320" s="2" t="s">
        <v>331</v>
      </c>
      <c r="D320" s="2" t="s">
        <v>287</v>
      </c>
      <c r="E320" s="2" t="s">
        <v>22</v>
      </c>
      <c r="F320" s="2" t="s">
        <v>23</v>
      </c>
      <c r="G320" s="2" t="s">
        <v>38</v>
      </c>
      <c r="H320" s="2" t="s">
        <v>39</v>
      </c>
      <c r="I320" s="2">
        <v>10</v>
      </c>
      <c r="J320" s="4">
        <v>13400</v>
      </c>
      <c r="K320" s="4">
        <v>134000</v>
      </c>
      <c r="L320" s="4">
        <v>80400</v>
      </c>
      <c r="M320" s="4">
        <v>53600</v>
      </c>
      <c r="N320" s="5">
        <v>0.4</v>
      </c>
    </row>
    <row r="321" spans="1:14" x14ac:dyDescent="0.25">
      <c r="A321" t="s">
        <v>370</v>
      </c>
      <c r="B321" s="6">
        <v>45527</v>
      </c>
      <c r="C321" t="s">
        <v>331</v>
      </c>
      <c r="D321" t="s">
        <v>287</v>
      </c>
      <c r="E321" t="s">
        <v>54</v>
      </c>
      <c r="F321" t="s">
        <v>33</v>
      </c>
      <c r="G321" t="s">
        <v>29</v>
      </c>
      <c r="H321" t="s">
        <v>30</v>
      </c>
      <c r="I321">
        <v>4</v>
      </c>
      <c r="J321" s="7">
        <v>2900</v>
      </c>
      <c r="K321" s="7">
        <v>11600</v>
      </c>
      <c r="L321" s="7">
        <v>5220</v>
      </c>
      <c r="M321" s="7">
        <v>6380</v>
      </c>
      <c r="N321" s="8">
        <v>0.55000000000000004</v>
      </c>
    </row>
    <row r="322" spans="1:14" x14ac:dyDescent="0.25">
      <c r="A322" s="2" t="s">
        <v>371</v>
      </c>
      <c r="B322" s="3">
        <v>45528</v>
      </c>
      <c r="C322" s="2" t="s">
        <v>331</v>
      </c>
      <c r="D322" s="2" t="s">
        <v>287</v>
      </c>
      <c r="E322" s="2" t="s">
        <v>22</v>
      </c>
      <c r="F322" s="2" t="s">
        <v>28</v>
      </c>
      <c r="G322" s="2" t="s">
        <v>19</v>
      </c>
      <c r="H322" s="2" t="s">
        <v>20</v>
      </c>
      <c r="I322" s="2">
        <v>1</v>
      </c>
      <c r="J322" s="4">
        <v>5100</v>
      </c>
      <c r="K322" s="4">
        <v>5100</v>
      </c>
      <c r="L322" s="4">
        <v>2805</v>
      </c>
      <c r="M322" s="4">
        <v>2295</v>
      </c>
      <c r="N322" s="5">
        <v>0.45</v>
      </c>
    </row>
    <row r="323" spans="1:14" x14ac:dyDescent="0.25">
      <c r="A323" t="s">
        <v>372</v>
      </c>
      <c r="B323" s="6">
        <v>45528</v>
      </c>
      <c r="C323" t="s">
        <v>331</v>
      </c>
      <c r="D323" t="s">
        <v>287</v>
      </c>
      <c r="E323" t="s">
        <v>37</v>
      </c>
      <c r="F323" t="s">
        <v>18</v>
      </c>
      <c r="G323" t="s">
        <v>29</v>
      </c>
      <c r="H323" t="s">
        <v>30</v>
      </c>
      <c r="I323">
        <v>5</v>
      </c>
      <c r="J323" s="7">
        <v>2500</v>
      </c>
      <c r="K323" s="7">
        <v>12500</v>
      </c>
      <c r="L323" s="7">
        <v>5625</v>
      </c>
      <c r="M323" s="7">
        <v>6875</v>
      </c>
      <c r="N323" s="8">
        <v>0.55000000000000004</v>
      </c>
    </row>
    <row r="324" spans="1:14" x14ac:dyDescent="0.25">
      <c r="A324" s="2" t="s">
        <v>373</v>
      </c>
      <c r="B324" s="3">
        <v>45528</v>
      </c>
      <c r="C324" s="2" t="s">
        <v>331</v>
      </c>
      <c r="D324" s="2" t="s">
        <v>287</v>
      </c>
      <c r="E324" s="2" t="s">
        <v>27</v>
      </c>
      <c r="F324" s="2" t="s">
        <v>33</v>
      </c>
      <c r="G324" s="2" t="s">
        <v>29</v>
      </c>
      <c r="H324" s="2" t="s">
        <v>30</v>
      </c>
      <c r="I324" s="2">
        <v>3</v>
      </c>
      <c r="J324" s="4">
        <v>2700</v>
      </c>
      <c r="K324" s="4">
        <v>8100</v>
      </c>
      <c r="L324" s="4">
        <v>3645</v>
      </c>
      <c r="M324" s="4">
        <v>4455</v>
      </c>
      <c r="N324" s="5">
        <v>0.55000000000000004</v>
      </c>
    </row>
    <row r="325" spans="1:14" x14ac:dyDescent="0.25">
      <c r="A325" t="s">
        <v>374</v>
      </c>
      <c r="B325" s="6">
        <v>45529</v>
      </c>
      <c r="C325" t="s">
        <v>331</v>
      </c>
      <c r="D325" t="s">
        <v>287</v>
      </c>
      <c r="E325" t="s">
        <v>17</v>
      </c>
      <c r="F325" t="s">
        <v>33</v>
      </c>
      <c r="G325" t="s">
        <v>24</v>
      </c>
      <c r="H325" t="s">
        <v>25</v>
      </c>
      <c r="I325">
        <v>8</v>
      </c>
      <c r="J325" s="7">
        <v>17100</v>
      </c>
      <c r="K325" s="7">
        <v>136800</v>
      </c>
      <c r="L325" s="7">
        <v>79344</v>
      </c>
      <c r="M325" s="7">
        <v>57456</v>
      </c>
      <c r="N325" s="8">
        <v>0.42</v>
      </c>
    </row>
    <row r="326" spans="1:14" x14ac:dyDescent="0.25">
      <c r="A326" s="2" t="s">
        <v>375</v>
      </c>
      <c r="B326" s="3">
        <v>45530</v>
      </c>
      <c r="C326" s="2" t="s">
        <v>331</v>
      </c>
      <c r="D326" s="2" t="s">
        <v>287</v>
      </c>
      <c r="E326" s="2" t="s">
        <v>17</v>
      </c>
      <c r="F326" s="2" t="s">
        <v>59</v>
      </c>
      <c r="G326" s="2" t="s">
        <v>45</v>
      </c>
      <c r="H326" s="2" t="s">
        <v>46</v>
      </c>
      <c r="I326" s="2">
        <v>4</v>
      </c>
      <c r="J326" s="4">
        <v>9100</v>
      </c>
      <c r="K326" s="4">
        <v>36400</v>
      </c>
      <c r="L326" s="4">
        <v>21840</v>
      </c>
      <c r="M326" s="4">
        <v>14560</v>
      </c>
      <c r="N326" s="5">
        <v>0.4</v>
      </c>
    </row>
    <row r="327" spans="1:14" x14ac:dyDescent="0.25">
      <c r="A327" t="s">
        <v>376</v>
      </c>
      <c r="B327" s="6">
        <v>45530</v>
      </c>
      <c r="C327" t="s">
        <v>331</v>
      </c>
      <c r="D327" t="s">
        <v>287</v>
      </c>
      <c r="E327" t="s">
        <v>22</v>
      </c>
      <c r="F327" t="s">
        <v>23</v>
      </c>
      <c r="G327" t="s">
        <v>34</v>
      </c>
      <c r="H327" t="s">
        <v>35</v>
      </c>
      <c r="I327">
        <v>7</v>
      </c>
      <c r="J327" s="7">
        <v>3200</v>
      </c>
      <c r="K327" s="7">
        <v>22400</v>
      </c>
      <c r="L327" s="7">
        <v>10752</v>
      </c>
      <c r="M327" s="7">
        <v>11648</v>
      </c>
      <c r="N327" s="8">
        <v>0.52</v>
      </c>
    </row>
    <row r="328" spans="1:14" x14ac:dyDescent="0.25">
      <c r="A328" s="2" t="s">
        <v>377</v>
      </c>
      <c r="B328" s="3">
        <v>45531</v>
      </c>
      <c r="C328" s="2" t="s">
        <v>331</v>
      </c>
      <c r="D328" s="2" t="s">
        <v>287</v>
      </c>
      <c r="E328" s="2" t="s">
        <v>32</v>
      </c>
      <c r="F328" s="2" t="s">
        <v>59</v>
      </c>
      <c r="G328" s="2" t="s">
        <v>50</v>
      </c>
      <c r="H328" s="2" t="s">
        <v>46</v>
      </c>
      <c r="I328" s="2">
        <v>2</v>
      </c>
      <c r="J328" s="4">
        <v>26700</v>
      </c>
      <c r="K328" s="4">
        <v>53400</v>
      </c>
      <c r="L328" s="4">
        <v>34710</v>
      </c>
      <c r="M328" s="4">
        <v>18690</v>
      </c>
      <c r="N328" s="5">
        <v>0.35</v>
      </c>
    </row>
    <row r="329" spans="1:14" x14ac:dyDescent="0.25">
      <c r="A329" t="s">
        <v>378</v>
      </c>
      <c r="B329" s="6">
        <v>45531</v>
      </c>
      <c r="C329" t="s">
        <v>331</v>
      </c>
      <c r="D329" t="s">
        <v>287</v>
      </c>
      <c r="E329" t="s">
        <v>32</v>
      </c>
      <c r="F329" t="s">
        <v>59</v>
      </c>
      <c r="G329" t="s">
        <v>63</v>
      </c>
      <c r="H329" t="s">
        <v>46</v>
      </c>
      <c r="I329">
        <v>9</v>
      </c>
      <c r="J329" s="7">
        <v>9200</v>
      </c>
      <c r="K329" s="7">
        <v>82800</v>
      </c>
      <c r="L329" s="7">
        <v>51336</v>
      </c>
      <c r="M329" s="7">
        <v>31464</v>
      </c>
      <c r="N329" s="8">
        <v>0.38</v>
      </c>
    </row>
    <row r="330" spans="1:14" x14ac:dyDescent="0.25">
      <c r="A330" s="2" t="s">
        <v>379</v>
      </c>
      <c r="B330" s="3">
        <v>45532</v>
      </c>
      <c r="C330" s="2" t="s">
        <v>331</v>
      </c>
      <c r="D330" s="2" t="s">
        <v>287</v>
      </c>
      <c r="E330" s="2" t="s">
        <v>54</v>
      </c>
      <c r="F330" s="2" t="s">
        <v>28</v>
      </c>
      <c r="G330" s="2" t="s">
        <v>29</v>
      </c>
      <c r="H330" s="2" t="s">
        <v>30</v>
      </c>
      <c r="I330" s="2">
        <v>8</v>
      </c>
      <c r="J330" s="4">
        <v>2400</v>
      </c>
      <c r="K330" s="4">
        <v>19200</v>
      </c>
      <c r="L330" s="4">
        <v>8640</v>
      </c>
      <c r="M330" s="4">
        <v>10560</v>
      </c>
      <c r="N330" s="5">
        <v>0.55000000000000004</v>
      </c>
    </row>
    <row r="331" spans="1:14" x14ac:dyDescent="0.25">
      <c r="A331" t="s">
        <v>380</v>
      </c>
      <c r="B331" s="6">
        <v>45533</v>
      </c>
      <c r="C331" t="s">
        <v>331</v>
      </c>
      <c r="D331" t="s">
        <v>287</v>
      </c>
      <c r="E331" t="s">
        <v>22</v>
      </c>
      <c r="F331" t="s">
        <v>42</v>
      </c>
      <c r="G331" t="s">
        <v>29</v>
      </c>
      <c r="H331" t="s">
        <v>30</v>
      </c>
      <c r="I331">
        <v>3</v>
      </c>
      <c r="J331" s="7">
        <v>2500</v>
      </c>
      <c r="K331" s="7">
        <v>7500</v>
      </c>
      <c r="L331" s="7">
        <v>3375</v>
      </c>
      <c r="M331" s="7">
        <v>4125</v>
      </c>
      <c r="N331" s="8">
        <v>0.55000000000000004</v>
      </c>
    </row>
    <row r="332" spans="1:14" x14ac:dyDescent="0.25">
      <c r="A332" s="2" t="s">
        <v>381</v>
      </c>
      <c r="B332" s="3">
        <v>45533</v>
      </c>
      <c r="C332" s="2" t="s">
        <v>331</v>
      </c>
      <c r="D332" s="2" t="s">
        <v>287</v>
      </c>
      <c r="E332" s="2" t="s">
        <v>27</v>
      </c>
      <c r="F332" s="2" t="s">
        <v>23</v>
      </c>
      <c r="G332" s="2" t="s">
        <v>50</v>
      </c>
      <c r="H332" s="2" t="s">
        <v>46</v>
      </c>
      <c r="I332" s="2">
        <v>9</v>
      </c>
      <c r="J332" s="4">
        <v>26900</v>
      </c>
      <c r="K332" s="4">
        <v>242100</v>
      </c>
      <c r="L332" s="4">
        <v>157365</v>
      </c>
      <c r="M332" s="4">
        <v>84735</v>
      </c>
      <c r="N332" s="5">
        <v>0.35</v>
      </c>
    </row>
    <row r="333" spans="1:14" x14ac:dyDescent="0.25">
      <c r="A333" t="s">
        <v>382</v>
      </c>
      <c r="B333" s="6">
        <v>45534</v>
      </c>
      <c r="C333" t="s">
        <v>331</v>
      </c>
      <c r="D333" t="s">
        <v>287</v>
      </c>
      <c r="E333" t="s">
        <v>27</v>
      </c>
      <c r="F333" t="s">
        <v>28</v>
      </c>
      <c r="G333" t="s">
        <v>45</v>
      </c>
      <c r="H333" t="s">
        <v>46</v>
      </c>
      <c r="I333">
        <v>9</v>
      </c>
      <c r="J333" s="7">
        <v>8400</v>
      </c>
      <c r="K333" s="7">
        <v>75600</v>
      </c>
      <c r="L333" s="7">
        <v>45360</v>
      </c>
      <c r="M333" s="7">
        <v>30240</v>
      </c>
      <c r="N333" s="8">
        <v>0.4</v>
      </c>
    </row>
    <row r="334" spans="1:14" x14ac:dyDescent="0.25">
      <c r="A334" s="2" t="s">
        <v>383</v>
      </c>
      <c r="B334" s="3">
        <v>45535</v>
      </c>
      <c r="C334" s="2" t="s">
        <v>331</v>
      </c>
      <c r="D334" s="2" t="s">
        <v>287</v>
      </c>
      <c r="E334" s="2" t="s">
        <v>37</v>
      </c>
      <c r="F334" s="2" t="s">
        <v>28</v>
      </c>
      <c r="G334" s="2" t="s">
        <v>45</v>
      </c>
      <c r="H334" s="2" t="s">
        <v>46</v>
      </c>
      <c r="I334" s="2">
        <v>4</v>
      </c>
      <c r="J334" s="4">
        <v>8700</v>
      </c>
      <c r="K334" s="4">
        <v>34800</v>
      </c>
      <c r="L334" s="4">
        <v>20880</v>
      </c>
      <c r="M334" s="4">
        <v>13920</v>
      </c>
      <c r="N334" s="5">
        <v>0.4</v>
      </c>
    </row>
    <row r="335" spans="1:14" x14ac:dyDescent="0.25">
      <c r="A335" t="s">
        <v>384</v>
      </c>
      <c r="B335" s="6">
        <v>45535</v>
      </c>
      <c r="C335" t="s">
        <v>331</v>
      </c>
      <c r="D335" t="s">
        <v>287</v>
      </c>
      <c r="E335" t="s">
        <v>32</v>
      </c>
      <c r="F335" t="s">
        <v>59</v>
      </c>
      <c r="G335" t="s">
        <v>50</v>
      </c>
      <c r="H335" t="s">
        <v>46</v>
      </c>
      <c r="I335">
        <v>3</v>
      </c>
      <c r="J335" s="7">
        <v>26500</v>
      </c>
      <c r="K335" s="7">
        <v>79500</v>
      </c>
      <c r="L335" s="7">
        <v>51675</v>
      </c>
      <c r="M335" s="7">
        <v>27825</v>
      </c>
      <c r="N335" s="8">
        <v>0.35</v>
      </c>
    </row>
    <row r="336" spans="1:14" x14ac:dyDescent="0.25">
      <c r="A336" s="2" t="s">
        <v>385</v>
      </c>
      <c r="B336" s="3">
        <v>45536</v>
      </c>
      <c r="C336" s="2" t="s">
        <v>386</v>
      </c>
      <c r="D336" s="2" t="s">
        <v>287</v>
      </c>
      <c r="E336" s="2" t="s">
        <v>32</v>
      </c>
      <c r="F336" s="2" t="s">
        <v>42</v>
      </c>
      <c r="G336" s="2" t="s">
        <v>63</v>
      </c>
      <c r="H336" s="2" t="s">
        <v>46</v>
      </c>
      <c r="I336" s="2">
        <v>9</v>
      </c>
      <c r="J336" s="4">
        <v>7300</v>
      </c>
      <c r="K336" s="4">
        <v>65700</v>
      </c>
      <c r="L336" s="4">
        <v>40734</v>
      </c>
      <c r="M336" s="4">
        <v>24966</v>
      </c>
      <c r="N336" s="5">
        <v>0.38</v>
      </c>
    </row>
    <row r="337" spans="1:14" x14ac:dyDescent="0.25">
      <c r="A337" t="s">
        <v>387</v>
      </c>
      <c r="B337" s="6">
        <v>45536</v>
      </c>
      <c r="C337" t="s">
        <v>386</v>
      </c>
      <c r="D337" t="s">
        <v>287</v>
      </c>
      <c r="E337" t="s">
        <v>54</v>
      </c>
      <c r="F337" t="s">
        <v>59</v>
      </c>
      <c r="G337" t="s">
        <v>24</v>
      </c>
      <c r="H337" t="s">
        <v>25</v>
      </c>
      <c r="I337">
        <v>1</v>
      </c>
      <c r="J337" s="7">
        <v>17000</v>
      </c>
      <c r="K337" s="7">
        <v>17000</v>
      </c>
      <c r="L337" s="7">
        <v>9860</v>
      </c>
      <c r="M337" s="7">
        <v>7140</v>
      </c>
      <c r="N337" s="8">
        <v>0.42</v>
      </c>
    </row>
    <row r="338" spans="1:14" x14ac:dyDescent="0.25">
      <c r="A338" s="2" t="s">
        <v>388</v>
      </c>
      <c r="B338" s="3">
        <v>45537</v>
      </c>
      <c r="C338" s="2" t="s">
        <v>386</v>
      </c>
      <c r="D338" s="2" t="s">
        <v>287</v>
      </c>
      <c r="E338" s="2" t="s">
        <v>54</v>
      </c>
      <c r="F338" s="2" t="s">
        <v>23</v>
      </c>
      <c r="G338" s="2" t="s">
        <v>29</v>
      </c>
      <c r="H338" s="2" t="s">
        <v>30</v>
      </c>
      <c r="I338" s="2">
        <v>9</v>
      </c>
      <c r="J338" s="4">
        <v>2400</v>
      </c>
      <c r="K338" s="4">
        <v>21600</v>
      </c>
      <c r="L338" s="4">
        <v>9720</v>
      </c>
      <c r="M338" s="4">
        <v>11880</v>
      </c>
      <c r="N338" s="5">
        <v>0.55000000000000004</v>
      </c>
    </row>
    <row r="339" spans="1:14" x14ac:dyDescent="0.25">
      <c r="A339" t="s">
        <v>389</v>
      </c>
      <c r="B339" s="6">
        <v>45539</v>
      </c>
      <c r="C339" t="s">
        <v>386</v>
      </c>
      <c r="D339" t="s">
        <v>287</v>
      </c>
      <c r="E339" t="s">
        <v>54</v>
      </c>
      <c r="F339" t="s">
        <v>28</v>
      </c>
      <c r="G339" t="s">
        <v>45</v>
      </c>
      <c r="H339" t="s">
        <v>46</v>
      </c>
      <c r="I339">
        <v>10</v>
      </c>
      <c r="J339" s="7">
        <v>9100</v>
      </c>
      <c r="K339" s="7">
        <v>91000</v>
      </c>
      <c r="L339" s="7">
        <v>54600</v>
      </c>
      <c r="M339" s="7">
        <v>36400</v>
      </c>
      <c r="N339" s="8">
        <v>0.4</v>
      </c>
    </row>
    <row r="340" spans="1:14" x14ac:dyDescent="0.25">
      <c r="A340" s="2" t="s">
        <v>390</v>
      </c>
      <c r="B340" s="3">
        <v>45539</v>
      </c>
      <c r="C340" s="2" t="s">
        <v>386</v>
      </c>
      <c r="D340" s="2" t="s">
        <v>287</v>
      </c>
      <c r="E340" s="2" t="s">
        <v>37</v>
      </c>
      <c r="F340" s="2" t="s">
        <v>33</v>
      </c>
      <c r="G340" s="2" t="s">
        <v>24</v>
      </c>
      <c r="H340" s="2" t="s">
        <v>25</v>
      </c>
      <c r="I340" s="2">
        <v>8</v>
      </c>
      <c r="J340" s="4">
        <v>15300</v>
      </c>
      <c r="K340" s="4">
        <v>122400</v>
      </c>
      <c r="L340" s="4">
        <v>70992</v>
      </c>
      <c r="M340" s="4">
        <v>51408</v>
      </c>
      <c r="N340" s="5">
        <v>0.42</v>
      </c>
    </row>
    <row r="341" spans="1:14" x14ac:dyDescent="0.25">
      <c r="A341" t="s">
        <v>391</v>
      </c>
      <c r="B341" s="6">
        <v>45540</v>
      </c>
      <c r="C341" t="s">
        <v>386</v>
      </c>
      <c r="D341" t="s">
        <v>287</v>
      </c>
      <c r="E341" t="s">
        <v>27</v>
      </c>
      <c r="F341" t="s">
        <v>42</v>
      </c>
      <c r="G341" t="s">
        <v>38</v>
      </c>
      <c r="H341" t="s">
        <v>39</v>
      </c>
      <c r="I341">
        <v>9</v>
      </c>
      <c r="J341" s="7">
        <v>13700</v>
      </c>
      <c r="K341" s="7">
        <v>123300</v>
      </c>
      <c r="L341" s="7">
        <v>73980</v>
      </c>
      <c r="M341" s="7">
        <v>49320</v>
      </c>
      <c r="N341" s="8">
        <v>0.4</v>
      </c>
    </row>
    <row r="342" spans="1:14" x14ac:dyDescent="0.25">
      <c r="A342" s="2" t="s">
        <v>392</v>
      </c>
      <c r="B342" s="3">
        <v>45541</v>
      </c>
      <c r="C342" s="2" t="s">
        <v>386</v>
      </c>
      <c r="D342" s="2" t="s">
        <v>287</v>
      </c>
      <c r="E342" s="2" t="s">
        <v>32</v>
      </c>
      <c r="F342" s="2" t="s">
        <v>23</v>
      </c>
      <c r="G342" s="2" t="s">
        <v>63</v>
      </c>
      <c r="H342" s="2" t="s">
        <v>46</v>
      </c>
      <c r="I342" s="2">
        <v>4</v>
      </c>
      <c r="J342" s="4">
        <v>7600</v>
      </c>
      <c r="K342" s="4">
        <v>30400</v>
      </c>
      <c r="L342" s="4">
        <v>18848</v>
      </c>
      <c r="M342" s="4">
        <v>11552</v>
      </c>
      <c r="N342" s="5">
        <v>0.38</v>
      </c>
    </row>
    <row r="343" spans="1:14" x14ac:dyDescent="0.25">
      <c r="A343" t="s">
        <v>393</v>
      </c>
      <c r="B343" s="6">
        <v>45541</v>
      </c>
      <c r="C343" t="s">
        <v>386</v>
      </c>
      <c r="D343" t="s">
        <v>287</v>
      </c>
      <c r="E343" t="s">
        <v>54</v>
      </c>
      <c r="F343" t="s">
        <v>28</v>
      </c>
      <c r="G343" t="s">
        <v>29</v>
      </c>
      <c r="H343" t="s">
        <v>30</v>
      </c>
      <c r="I343">
        <v>5</v>
      </c>
      <c r="J343" s="7">
        <v>2500</v>
      </c>
      <c r="K343" s="7">
        <v>12500</v>
      </c>
      <c r="L343" s="7">
        <v>5625</v>
      </c>
      <c r="M343" s="7">
        <v>6875</v>
      </c>
      <c r="N343" s="8">
        <v>0.55000000000000004</v>
      </c>
    </row>
    <row r="344" spans="1:14" x14ac:dyDescent="0.25">
      <c r="A344" s="2" t="s">
        <v>394</v>
      </c>
      <c r="B344" s="3">
        <v>45542</v>
      </c>
      <c r="C344" s="2" t="s">
        <v>386</v>
      </c>
      <c r="D344" s="2" t="s">
        <v>287</v>
      </c>
      <c r="E344" s="2" t="s">
        <v>32</v>
      </c>
      <c r="F344" s="2" t="s">
        <v>59</v>
      </c>
      <c r="G344" s="2" t="s">
        <v>38</v>
      </c>
      <c r="H344" s="2" t="s">
        <v>39</v>
      </c>
      <c r="I344" s="2">
        <v>8</v>
      </c>
      <c r="J344" s="4">
        <v>13500</v>
      </c>
      <c r="K344" s="4">
        <v>108000</v>
      </c>
      <c r="L344" s="4">
        <v>64800</v>
      </c>
      <c r="M344" s="4">
        <v>43200</v>
      </c>
      <c r="N344" s="5">
        <v>0.4</v>
      </c>
    </row>
    <row r="345" spans="1:14" x14ac:dyDescent="0.25">
      <c r="A345" t="s">
        <v>395</v>
      </c>
      <c r="B345" s="6">
        <v>45543</v>
      </c>
      <c r="C345" t="s">
        <v>386</v>
      </c>
      <c r="D345" t="s">
        <v>287</v>
      </c>
      <c r="E345" t="s">
        <v>22</v>
      </c>
      <c r="F345" t="s">
        <v>42</v>
      </c>
      <c r="G345" t="s">
        <v>29</v>
      </c>
      <c r="H345" t="s">
        <v>30</v>
      </c>
      <c r="I345">
        <v>2</v>
      </c>
      <c r="J345" s="7">
        <v>2300</v>
      </c>
      <c r="K345" s="7">
        <v>4600</v>
      </c>
      <c r="L345" s="7">
        <v>2070</v>
      </c>
      <c r="M345" s="7">
        <v>2530</v>
      </c>
      <c r="N345" s="8">
        <v>0.55000000000000004</v>
      </c>
    </row>
    <row r="346" spans="1:14" x14ac:dyDescent="0.25">
      <c r="A346" s="2" t="s">
        <v>396</v>
      </c>
      <c r="B346" s="3">
        <v>45544</v>
      </c>
      <c r="C346" s="2" t="s">
        <v>386</v>
      </c>
      <c r="D346" s="2" t="s">
        <v>287</v>
      </c>
      <c r="E346" s="2" t="s">
        <v>27</v>
      </c>
      <c r="F346" s="2" t="s">
        <v>59</v>
      </c>
      <c r="G346" s="2" t="s">
        <v>38</v>
      </c>
      <c r="H346" s="2" t="s">
        <v>39</v>
      </c>
      <c r="I346" s="2">
        <v>9</v>
      </c>
      <c r="J346" s="4">
        <v>11100</v>
      </c>
      <c r="K346" s="4">
        <v>99900</v>
      </c>
      <c r="L346" s="4">
        <v>59940</v>
      </c>
      <c r="M346" s="4">
        <v>39960</v>
      </c>
      <c r="N346" s="5">
        <v>0.4</v>
      </c>
    </row>
    <row r="347" spans="1:14" x14ac:dyDescent="0.25">
      <c r="A347" t="s">
        <v>397</v>
      </c>
      <c r="B347" s="6">
        <v>45544</v>
      </c>
      <c r="C347" t="s">
        <v>386</v>
      </c>
      <c r="D347" t="s">
        <v>287</v>
      </c>
      <c r="E347" t="s">
        <v>22</v>
      </c>
      <c r="F347" t="s">
        <v>33</v>
      </c>
      <c r="G347" t="s">
        <v>45</v>
      </c>
      <c r="H347" t="s">
        <v>46</v>
      </c>
      <c r="I347">
        <v>10</v>
      </c>
      <c r="J347" s="7">
        <v>9800</v>
      </c>
      <c r="K347" s="7">
        <v>98000</v>
      </c>
      <c r="L347" s="7">
        <v>58800</v>
      </c>
      <c r="M347" s="7">
        <v>39200</v>
      </c>
      <c r="N347" s="8">
        <v>0.4</v>
      </c>
    </row>
    <row r="348" spans="1:14" x14ac:dyDescent="0.25">
      <c r="A348" s="2" t="s">
        <v>398</v>
      </c>
      <c r="B348" s="3">
        <v>45546</v>
      </c>
      <c r="C348" s="2" t="s">
        <v>386</v>
      </c>
      <c r="D348" s="2" t="s">
        <v>287</v>
      </c>
      <c r="E348" s="2" t="s">
        <v>17</v>
      </c>
      <c r="F348" s="2" t="s">
        <v>28</v>
      </c>
      <c r="G348" s="2" t="s">
        <v>19</v>
      </c>
      <c r="H348" s="2" t="s">
        <v>20</v>
      </c>
      <c r="I348" s="2">
        <v>4</v>
      </c>
      <c r="J348" s="4">
        <v>5500</v>
      </c>
      <c r="K348" s="4">
        <v>22000</v>
      </c>
      <c r="L348" s="4">
        <v>12100</v>
      </c>
      <c r="M348" s="4">
        <v>9900</v>
      </c>
      <c r="N348" s="5">
        <v>0.45</v>
      </c>
    </row>
    <row r="349" spans="1:14" x14ac:dyDescent="0.25">
      <c r="A349" t="s">
        <v>399</v>
      </c>
      <c r="B349" s="6">
        <v>45546</v>
      </c>
      <c r="C349" t="s">
        <v>386</v>
      </c>
      <c r="D349" t="s">
        <v>287</v>
      </c>
      <c r="E349" t="s">
        <v>54</v>
      </c>
      <c r="F349" t="s">
        <v>18</v>
      </c>
      <c r="G349" t="s">
        <v>24</v>
      </c>
      <c r="H349" t="s">
        <v>25</v>
      </c>
      <c r="I349">
        <v>9</v>
      </c>
      <c r="J349" s="7">
        <v>17000</v>
      </c>
      <c r="K349" s="7">
        <v>153000</v>
      </c>
      <c r="L349" s="7">
        <v>88740</v>
      </c>
      <c r="M349" s="7">
        <v>64260</v>
      </c>
      <c r="N349" s="8">
        <v>0.42</v>
      </c>
    </row>
    <row r="350" spans="1:14" x14ac:dyDescent="0.25">
      <c r="A350" s="2" t="s">
        <v>400</v>
      </c>
      <c r="B350" s="3">
        <v>45547</v>
      </c>
      <c r="C350" s="2" t="s">
        <v>386</v>
      </c>
      <c r="D350" s="2" t="s">
        <v>287</v>
      </c>
      <c r="E350" s="2" t="s">
        <v>22</v>
      </c>
      <c r="F350" s="2" t="s">
        <v>59</v>
      </c>
      <c r="G350" s="2" t="s">
        <v>19</v>
      </c>
      <c r="H350" s="2" t="s">
        <v>20</v>
      </c>
      <c r="I350" s="2">
        <v>5</v>
      </c>
      <c r="J350" s="4">
        <v>5100</v>
      </c>
      <c r="K350" s="4">
        <v>25500</v>
      </c>
      <c r="L350" s="4">
        <v>14025</v>
      </c>
      <c r="M350" s="4">
        <v>11475</v>
      </c>
      <c r="N350" s="5">
        <v>0.45</v>
      </c>
    </row>
    <row r="351" spans="1:14" x14ac:dyDescent="0.25">
      <c r="A351" t="s">
        <v>401</v>
      </c>
      <c r="B351" s="6">
        <v>45547</v>
      </c>
      <c r="C351" t="s">
        <v>386</v>
      </c>
      <c r="D351" t="s">
        <v>287</v>
      </c>
      <c r="E351" t="s">
        <v>54</v>
      </c>
      <c r="F351" t="s">
        <v>28</v>
      </c>
      <c r="G351" t="s">
        <v>34</v>
      </c>
      <c r="H351" t="s">
        <v>35</v>
      </c>
      <c r="I351">
        <v>2</v>
      </c>
      <c r="J351" s="7">
        <v>3900</v>
      </c>
      <c r="K351" s="7">
        <v>7800</v>
      </c>
      <c r="L351" s="7">
        <v>3744</v>
      </c>
      <c r="M351" s="7">
        <v>4056</v>
      </c>
      <c r="N351" s="8">
        <v>0.52</v>
      </c>
    </row>
    <row r="352" spans="1:14" x14ac:dyDescent="0.25">
      <c r="A352" s="2" t="s">
        <v>402</v>
      </c>
      <c r="B352" s="3">
        <v>45547</v>
      </c>
      <c r="C352" s="2" t="s">
        <v>386</v>
      </c>
      <c r="D352" s="2" t="s">
        <v>287</v>
      </c>
      <c r="E352" s="2" t="s">
        <v>22</v>
      </c>
      <c r="F352" s="2" t="s">
        <v>23</v>
      </c>
      <c r="G352" s="2" t="s">
        <v>19</v>
      </c>
      <c r="H352" s="2" t="s">
        <v>20</v>
      </c>
      <c r="I352" s="2">
        <v>2</v>
      </c>
      <c r="J352" s="4">
        <v>5100</v>
      </c>
      <c r="K352" s="4">
        <v>10200</v>
      </c>
      <c r="L352" s="4">
        <v>5610</v>
      </c>
      <c r="M352" s="4">
        <v>4590</v>
      </c>
      <c r="N352" s="5">
        <v>0.45</v>
      </c>
    </row>
    <row r="353" spans="1:14" x14ac:dyDescent="0.25">
      <c r="A353" t="s">
        <v>403</v>
      </c>
      <c r="B353" s="6">
        <v>45548</v>
      </c>
      <c r="C353" t="s">
        <v>386</v>
      </c>
      <c r="D353" t="s">
        <v>287</v>
      </c>
      <c r="E353" t="s">
        <v>22</v>
      </c>
      <c r="F353" t="s">
        <v>28</v>
      </c>
      <c r="G353" t="s">
        <v>19</v>
      </c>
      <c r="H353" t="s">
        <v>20</v>
      </c>
      <c r="I353">
        <v>5</v>
      </c>
      <c r="J353" s="7">
        <v>5500</v>
      </c>
      <c r="K353" s="7">
        <v>27500</v>
      </c>
      <c r="L353" s="7">
        <v>15125</v>
      </c>
      <c r="M353" s="7">
        <v>12375</v>
      </c>
      <c r="N353" s="8">
        <v>0.45</v>
      </c>
    </row>
    <row r="354" spans="1:14" x14ac:dyDescent="0.25">
      <c r="A354" s="2" t="s">
        <v>404</v>
      </c>
      <c r="B354" s="3">
        <v>45549</v>
      </c>
      <c r="C354" s="2" t="s">
        <v>386</v>
      </c>
      <c r="D354" s="2" t="s">
        <v>287</v>
      </c>
      <c r="E354" s="2" t="s">
        <v>54</v>
      </c>
      <c r="F354" s="2" t="s">
        <v>23</v>
      </c>
      <c r="G354" s="2" t="s">
        <v>19</v>
      </c>
      <c r="H354" s="2" t="s">
        <v>20</v>
      </c>
      <c r="I354" s="2">
        <v>5</v>
      </c>
      <c r="J354" s="4">
        <v>5400</v>
      </c>
      <c r="K354" s="4">
        <v>27000</v>
      </c>
      <c r="L354" s="4">
        <v>14850</v>
      </c>
      <c r="M354" s="4">
        <v>12150</v>
      </c>
      <c r="N354" s="5">
        <v>0.45</v>
      </c>
    </row>
    <row r="355" spans="1:14" x14ac:dyDescent="0.25">
      <c r="A355" t="s">
        <v>405</v>
      </c>
      <c r="B355" s="6">
        <v>45550</v>
      </c>
      <c r="C355" t="s">
        <v>386</v>
      </c>
      <c r="D355" t="s">
        <v>287</v>
      </c>
      <c r="E355" t="s">
        <v>22</v>
      </c>
      <c r="F355" t="s">
        <v>42</v>
      </c>
      <c r="G355" t="s">
        <v>34</v>
      </c>
      <c r="H355" t="s">
        <v>35</v>
      </c>
      <c r="I355">
        <v>9</v>
      </c>
      <c r="J355" s="7">
        <v>3900</v>
      </c>
      <c r="K355" s="7">
        <v>35100</v>
      </c>
      <c r="L355" s="7">
        <v>16848</v>
      </c>
      <c r="M355" s="7">
        <v>18252</v>
      </c>
      <c r="N355" s="8">
        <v>0.52</v>
      </c>
    </row>
    <row r="356" spans="1:14" x14ac:dyDescent="0.25">
      <c r="A356" s="2" t="s">
        <v>406</v>
      </c>
      <c r="B356" s="3">
        <v>45550</v>
      </c>
      <c r="C356" s="2" t="s">
        <v>386</v>
      </c>
      <c r="D356" s="2" t="s">
        <v>287</v>
      </c>
      <c r="E356" s="2" t="s">
        <v>22</v>
      </c>
      <c r="F356" s="2" t="s">
        <v>23</v>
      </c>
      <c r="G356" s="2" t="s">
        <v>63</v>
      </c>
      <c r="H356" s="2" t="s">
        <v>46</v>
      </c>
      <c r="I356" s="2">
        <v>8</v>
      </c>
      <c r="J356" s="4">
        <v>7300</v>
      </c>
      <c r="K356" s="4">
        <v>58400</v>
      </c>
      <c r="L356" s="4">
        <v>36208</v>
      </c>
      <c r="M356" s="4">
        <v>22192</v>
      </c>
      <c r="N356" s="5">
        <v>0.38</v>
      </c>
    </row>
    <row r="357" spans="1:14" x14ac:dyDescent="0.25">
      <c r="A357" t="s">
        <v>407</v>
      </c>
      <c r="B357" s="6">
        <v>45551</v>
      </c>
      <c r="C357" t="s">
        <v>386</v>
      </c>
      <c r="D357" t="s">
        <v>287</v>
      </c>
      <c r="E357" t="s">
        <v>22</v>
      </c>
      <c r="F357" t="s">
        <v>33</v>
      </c>
      <c r="G357" t="s">
        <v>19</v>
      </c>
      <c r="H357" t="s">
        <v>20</v>
      </c>
      <c r="I357">
        <v>6</v>
      </c>
      <c r="J357" s="7">
        <v>5300</v>
      </c>
      <c r="K357" s="7">
        <v>31800</v>
      </c>
      <c r="L357" s="7">
        <v>17490</v>
      </c>
      <c r="M357" s="7">
        <v>14310</v>
      </c>
      <c r="N357" s="8">
        <v>0.45</v>
      </c>
    </row>
    <row r="358" spans="1:14" x14ac:dyDescent="0.25">
      <c r="A358" s="2" t="s">
        <v>408</v>
      </c>
      <c r="B358" s="3">
        <v>45551</v>
      </c>
      <c r="C358" s="2" t="s">
        <v>386</v>
      </c>
      <c r="D358" s="2" t="s">
        <v>287</v>
      </c>
      <c r="E358" s="2" t="s">
        <v>37</v>
      </c>
      <c r="F358" s="2" t="s">
        <v>28</v>
      </c>
      <c r="G358" s="2" t="s">
        <v>19</v>
      </c>
      <c r="H358" s="2" t="s">
        <v>20</v>
      </c>
      <c r="I358" s="2">
        <v>5</v>
      </c>
      <c r="J358" s="4">
        <v>5500</v>
      </c>
      <c r="K358" s="4">
        <v>27500</v>
      </c>
      <c r="L358" s="4">
        <v>15125</v>
      </c>
      <c r="M358" s="4">
        <v>12375</v>
      </c>
      <c r="N358" s="5">
        <v>0.45</v>
      </c>
    </row>
    <row r="359" spans="1:14" x14ac:dyDescent="0.25">
      <c r="A359" t="s">
        <v>409</v>
      </c>
      <c r="B359" s="6">
        <v>45552</v>
      </c>
      <c r="C359" t="s">
        <v>386</v>
      </c>
      <c r="D359" t="s">
        <v>287</v>
      </c>
      <c r="E359" t="s">
        <v>54</v>
      </c>
      <c r="F359" t="s">
        <v>18</v>
      </c>
      <c r="G359" t="s">
        <v>34</v>
      </c>
      <c r="H359" t="s">
        <v>35</v>
      </c>
      <c r="I359">
        <v>9</v>
      </c>
      <c r="J359" s="7">
        <v>3700</v>
      </c>
      <c r="K359" s="7">
        <v>33300</v>
      </c>
      <c r="L359" s="7">
        <v>15984</v>
      </c>
      <c r="M359" s="7">
        <v>17316</v>
      </c>
      <c r="N359" s="8">
        <v>0.52</v>
      </c>
    </row>
    <row r="360" spans="1:14" x14ac:dyDescent="0.25">
      <c r="A360" s="2" t="s">
        <v>410</v>
      </c>
      <c r="B360" s="3">
        <v>45553</v>
      </c>
      <c r="C360" s="2" t="s">
        <v>386</v>
      </c>
      <c r="D360" s="2" t="s">
        <v>287</v>
      </c>
      <c r="E360" s="2" t="s">
        <v>27</v>
      </c>
      <c r="F360" s="2" t="s">
        <v>28</v>
      </c>
      <c r="G360" s="2" t="s">
        <v>38</v>
      </c>
      <c r="H360" s="2" t="s">
        <v>39</v>
      </c>
      <c r="I360" s="2">
        <v>10</v>
      </c>
      <c r="J360" s="4">
        <v>12000</v>
      </c>
      <c r="K360" s="4">
        <v>120000</v>
      </c>
      <c r="L360" s="4">
        <v>72000</v>
      </c>
      <c r="M360" s="4">
        <v>48000</v>
      </c>
      <c r="N360" s="5">
        <v>0.4</v>
      </c>
    </row>
    <row r="361" spans="1:14" x14ac:dyDescent="0.25">
      <c r="A361" t="s">
        <v>411</v>
      </c>
      <c r="B361" s="6">
        <v>45555</v>
      </c>
      <c r="C361" t="s">
        <v>386</v>
      </c>
      <c r="D361" t="s">
        <v>287</v>
      </c>
      <c r="E361" t="s">
        <v>27</v>
      </c>
      <c r="F361" t="s">
        <v>23</v>
      </c>
      <c r="G361" t="s">
        <v>29</v>
      </c>
      <c r="H361" t="s">
        <v>30</v>
      </c>
      <c r="I361">
        <v>8</v>
      </c>
      <c r="J361" s="7">
        <v>2400</v>
      </c>
      <c r="K361" s="7">
        <v>19200</v>
      </c>
      <c r="L361" s="7">
        <v>8640</v>
      </c>
      <c r="M361" s="7">
        <v>10560</v>
      </c>
      <c r="N361" s="8">
        <v>0.55000000000000004</v>
      </c>
    </row>
    <row r="362" spans="1:14" x14ac:dyDescent="0.25">
      <c r="A362" s="2" t="s">
        <v>412</v>
      </c>
      <c r="B362" s="3">
        <v>45555</v>
      </c>
      <c r="C362" s="2" t="s">
        <v>386</v>
      </c>
      <c r="D362" s="2" t="s">
        <v>287</v>
      </c>
      <c r="E362" s="2" t="s">
        <v>22</v>
      </c>
      <c r="F362" s="2" t="s">
        <v>59</v>
      </c>
      <c r="G362" s="2" t="s">
        <v>50</v>
      </c>
      <c r="H362" s="2" t="s">
        <v>46</v>
      </c>
      <c r="I362" s="2">
        <v>9</v>
      </c>
      <c r="J362" s="4">
        <v>26600</v>
      </c>
      <c r="K362" s="4">
        <v>239400</v>
      </c>
      <c r="L362" s="4">
        <v>155610</v>
      </c>
      <c r="M362" s="4">
        <v>83790</v>
      </c>
      <c r="N362" s="5">
        <v>0.35</v>
      </c>
    </row>
    <row r="363" spans="1:14" x14ac:dyDescent="0.25">
      <c r="A363" t="s">
        <v>413</v>
      </c>
      <c r="B363" s="6">
        <v>45555</v>
      </c>
      <c r="C363" t="s">
        <v>386</v>
      </c>
      <c r="D363" t="s">
        <v>287</v>
      </c>
      <c r="E363" t="s">
        <v>22</v>
      </c>
      <c r="F363" t="s">
        <v>28</v>
      </c>
      <c r="G363" t="s">
        <v>34</v>
      </c>
      <c r="H363" t="s">
        <v>35</v>
      </c>
      <c r="I363">
        <v>9</v>
      </c>
      <c r="J363" s="7">
        <v>4000</v>
      </c>
      <c r="K363" s="7">
        <v>36000</v>
      </c>
      <c r="L363" s="7">
        <v>17280</v>
      </c>
      <c r="M363" s="7">
        <v>18720</v>
      </c>
      <c r="N363" s="8">
        <v>0.52</v>
      </c>
    </row>
    <row r="364" spans="1:14" x14ac:dyDescent="0.25">
      <c r="A364" s="2" t="s">
        <v>414</v>
      </c>
      <c r="B364" s="3">
        <v>45556</v>
      </c>
      <c r="C364" s="2" t="s">
        <v>386</v>
      </c>
      <c r="D364" s="2" t="s">
        <v>287</v>
      </c>
      <c r="E364" s="2" t="s">
        <v>17</v>
      </c>
      <c r="F364" s="2" t="s">
        <v>59</v>
      </c>
      <c r="G364" s="2" t="s">
        <v>63</v>
      </c>
      <c r="H364" s="2" t="s">
        <v>46</v>
      </c>
      <c r="I364" s="2">
        <v>6</v>
      </c>
      <c r="J364" s="4">
        <v>8300</v>
      </c>
      <c r="K364" s="4">
        <v>49800</v>
      </c>
      <c r="L364" s="4">
        <v>30876</v>
      </c>
      <c r="M364" s="4">
        <v>18924</v>
      </c>
      <c r="N364" s="5">
        <v>0.38</v>
      </c>
    </row>
    <row r="365" spans="1:14" x14ac:dyDescent="0.25">
      <c r="A365" t="s">
        <v>415</v>
      </c>
      <c r="B365" s="6">
        <v>45558</v>
      </c>
      <c r="C365" t="s">
        <v>386</v>
      </c>
      <c r="D365" t="s">
        <v>287</v>
      </c>
      <c r="E365" t="s">
        <v>22</v>
      </c>
      <c r="F365" t="s">
        <v>18</v>
      </c>
      <c r="G365" t="s">
        <v>45</v>
      </c>
      <c r="H365" t="s">
        <v>46</v>
      </c>
      <c r="I365">
        <v>5</v>
      </c>
      <c r="J365" s="7">
        <v>9500</v>
      </c>
      <c r="K365" s="7">
        <v>47500</v>
      </c>
      <c r="L365" s="7">
        <v>28500</v>
      </c>
      <c r="M365" s="7">
        <v>19000</v>
      </c>
      <c r="N365" s="8">
        <v>0.4</v>
      </c>
    </row>
    <row r="366" spans="1:14" x14ac:dyDescent="0.25">
      <c r="A366" s="2" t="s">
        <v>416</v>
      </c>
      <c r="B366" s="3">
        <v>45558</v>
      </c>
      <c r="C366" s="2" t="s">
        <v>386</v>
      </c>
      <c r="D366" s="2" t="s">
        <v>287</v>
      </c>
      <c r="E366" s="2" t="s">
        <v>37</v>
      </c>
      <c r="F366" s="2" t="s">
        <v>23</v>
      </c>
      <c r="G366" s="2" t="s">
        <v>45</v>
      </c>
      <c r="H366" s="2" t="s">
        <v>46</v>
      </c>
      <c r="I366" s="2">
        <v>4</v>
      </c>
      <c r="J366" s="4">
        <v>8400</v>
      </c>
      <c r="K366" s="4">
        <v>33600</v>
      </c>
      <c r="L366" s="4">
        <v>20160</v>
      </c>
      <c r="M366" s="4">
        <v>13440</v>
      </c>
      <c r="N366" s="5">
        <v>0.4</v>
      </c>
    </row>
    <row r="367" spans="1:14" x14ac:dyDescent="0.25">
      <c r="A367" t="s">
        <v>417</v>
      </c>
      <c r="B367" s="6">
        <v>45558</v>
      </c>
      <c r="C367" t="s">
        <v>386</v>
      </c>
      <c r="D367" t="s">
        <v>287</v>
      </c>
      <c r="E367" t="s">
        <v>27</v>
      </c>
      <c r="F367" t="s">
        <v>28</v>
      </c>
      <c r="G367" t="s">
        <v>63</v>
      </c>
      <c r="H367" t="s">
        <v>46</v>
      </c>
      <c r="I367">
        <v>3</v>
      </c>
      <c r="J367" s="7">
        <v>8600</v>
      </c>
      <c r="K367" s="7">
        <v>25800</v>
      </c>
      <c r="L367" s="7">
        <v>15996</v>
      </c>
      <c r="M367" s="7">
        <v>9804</v>
      </c>
      <c r="N367" s="8">
        <v>0.38</v>
      </c>
    </row>
    <row r="368" spans="1:14" x14ac:dyDescent="0.25">
      <c r="A368" s="2" t="s">
        <v>418</v>
      </c>
      <c r="B368" s="3">
        <v>45559</v>
      </c>
      <c r="C368" s="2" t="s">
        <v>386</v>
      </c>
      <c r="D368" s="2" t="s">
        <v>287</v>
      </c>
      <c r="E368" s="2" t="s">
        <v>22</v>
      </c>
      <c r="F368" s="2" t="s">
        <v>59</v>
      </c>
      <c r="G368" s="2" t="s">
        <v>63</v>
      </c>
      <c r="H368" s="2" t="s">
        <v>46</v>
      </c>
      <c r="I368" s="2">
        <v>5</v>
      </c>
      <c r="J368" s="4">
        <v>7900</v>
      </c>
      <c r="K368" s="4">
        <v>39500</v>
      </c>
      <c r="L368" s="4">
        <v>24490</v>
      </c>
      <c r="M368" s="4">
        <v>15010</v>
      </c>
      <c r="N368" s="5">
        <v>0.38</v>
      </c>
    </row>
    <row r="369" spans="1:14" x14ac:dyDescent="0.25">
      <c r="A369" t="s">
        <v>419</v>
      </c>
      <c r="B369" s="6">
        <v>45560</v>
      </c>
      <c r="C369" t="s">
        <v>386</v>
      </c>
      <c r="D369" t="s">
        <v>287</v>
      </c>
      <c r="E369" t="s">
        <v>32</v>
      </c>
      <c r="F369" t="s">
        <v>23</v>
      </c>
      <c r="G369" t="s">
        <v>34</v>
      </c>
      <c r="H369" t="s">
        <v>35</v>
      </c>
      <c r="I369">
        <v>4</v>
      </c>
      <c r="J369" s="7">
        <v>3300</v>
      </c>
      <c r="K369" s="7">
        <v>13200</v>
      </c>
      <c r="L369" s="7">
        <v>6336</v>
      </c>
      <c r="M369" s="7">
        <v>6864</v>
      </c>
      <c r="N369" s="8">
        <v>0.52</v>
      </c>
    </row>
    <row r="370" spans="1:14" x14ac:dyDescent="0.25">
      <c r="A370" s="2" t="s">
        <v>420</v>
      </c>
      <c r="B370" s="3">
        <v>45560</v>
      </c>
      <c r="C370" s="2" t="s">
        <v>386</v>
      </c>
      <c r="D370" s="2" t="s">
        <v>287</v>
      </c>
      <c r="E370" s="2" t="s">
        <v>37</v>
      </c>
      <c r="F370" s="2" t="s">
        <v>18</v>
      </c>
      <c r="G370" s="2" t="s">
        <v>50</v>
      </c>
      <c r="H370" s="2" t="s">
        <v>46</v>
      </c>
      <c r="I370" s="2">
        <v>2</v>
      </c>
      <c r="J370" s="4">
        <v>27700</v>
      </c>
      <c r="K370" s="4">
        <v>55400</v>
      </c>
      <c r="L370" s="4">
        <v>36010</v>
      </c>
      <c r="M370" s="4">
        <v>19390</v>
      </c>
      <c r="N370" s="5">
        <v>0.35</v>
      </c>
    </row>
    <row r="371" spans="1:14" x14ac:dyDescent="0.25">
      <c r="A371" t="s">
        <v>421</v>
      </c>
      <c r="B371" s="6">
        <v>45561</v>
      </c>
      <c r="C371" t="s">
        <v>386</v>
      </c>
      <c r="D371" t="s">
        <v>287</v>
      </c>
      <c r="E371" t="s">
        <v>27</v>
      </c>
      <c r="F371" t="s">
        <v>23</v>
      </c>
      <c r="G371" t="s">
        <v>50</v>
      </c>
      <c r="H371" t="s">
        <v>46</v>
      </c>
      <c r="I371">
        <v>10</v>
      </c>
      <c r="J371" s="7">
        <v>26600</v>
      </c>
      <c r="K371" s="7">
        <v>266000</v>
      </c>
      <c r="L371" s="7">
        <v>172900</v>
      </c>
      <c r="M371" s="7">
        <v>93100</v>
      </c>
      <c r="N371" s="8">
        <v>0.35</v>
      </c>
    </row>
    <row r="372" spans="1:14" x14ac:dyDescent="0.25">
      <c r="A372" s="2" t="s">
        <v>422</v>
      </c>
      <c r="B372" s="3">
        <v>45562</v>
      </c>
      <c r="C372" s="2" t="s">
        <v>386</v>
      </c>
      <c r="D372" s="2" t="s">
        <v>287</v>
      </c>
      <c r="E372" s="2" t="s">
        <v>54</v>
      </c>
      <c r="F372" s="2" t="s">
        <v>33</v>
      </c>
      <c r="G372" s="2" t="s">
        <v>50</v>
      </c>
      <c r="H372" s="2" t="s">
        <v>46</v>
      </c>
      <c r="I372" s="2">
        <v>9</v>
      </c>
      <c r="J372" s="4">
        <v>26700</v>
      </c>
      <c r="K372" s="4">
        <v>240300</v>
      </c>
      <c r="L372" s="4">
        <v>156195</v>
      </c>
      <c r="M372" s="4">
        <v>84105</v>
      </c>
      <c r="N372" s="5">
        <v>0.35</v>
      </c>
    </row>
    <row r="373" spans="1:14" x14ac:dyDescent="0.25">
      <c r="A373" t="s">
        <v>423</v>
      </c>
      <c r="B373" s="6">
        <v>45562</v>
      </c>
      <c r="C373" t="s">
        <v>386</v>
      </c>
      <c r="D373" t="s">
        <v>287</v>
      </c>
      <c r="E373" t="s">
        <v>27</v>
      </c>
      <c r="F373" t="s">
        <v>28</v>
      </c>
      <c r="G373" t="s">
        <v>34</v>
      </c>
      <c r="H373" t="s">
        <v>35</v>
      </c>
      <c r="I373">
        <v>5</v>
      </c>
      <c r="J373" s="7">
        <v>3200</v>
      </c>
      <c r="K373" s="7">
        <v>16000</v>
      </c>
      <c r="L373" s="7">
        <v>7680</v>
      </c>
      <c r="M373" s="7">
        <v>8320</v>
      </c>
      <c r="N373" s="8">
        <v>0.52</v>
      </c>
    </row>
    <row r="374" spans="1:14" x14ac:dyDescent="0.25">
      <c r="A374" s="2" t="s">
        <v>424</v>
      </c>
      <c r="B374" s="3">
        <v>45562</v>
      </c>
      <c r="C374" s="2" t="s">
        <v>386</v>
      </c>
      <c r="D374" s="2" t="s">
        <v>287</v>
      </c>
      <c r="E374" s="2" t="s">
        <v>22</v>
      </c>
      <c r="F374" s="2" t="s">
        <v>23</v>
      </c>
      <c r="G374" s="2" t="s">
        <v>24</v>
      </c>
      <c r="H374" s="2" t="s">
        <v>25</v>
      </c>
      <c r="I374" s="2">
        <v>10</v>
      </c>
      <c r="J374" s="4">
        <v>15700</v>
      </c>
      <c r="K374" s="4">
        <v>157000</v>
      </c>
      <c r="L374" s="4">
        <v>91060</v>
      </c>
      <c r="M374" s="4">
        <v>65940</v>
      </c>
      <c r="N374" s="5">
        <v>0.42</v>
      </c>
    </row>
    <row r="375" spans="1:14" x14ac:dyDescent="0.25">
      <c r="A375" t="s">
        <v>425</v>
      </c>
      <c r="B375" s="6">
        <v>45563</v>
      </c>
      <c r="C375" t="s">
        <v>386</v>
      </c>
      <c r="D375" t="s">
        <v>287</v>
      </c>
      <c r="E375" t="s">
        <v>54</v>
      </c>
      <c r="F375" t="s">
        <v>42</v>
      </c>
      <c r="G375" t="s">
        <v>29</v>
      </c>
      <c r="H375" t="s">
        <v>30</v>
      </c>
      <c r="I375">
        <v>8</v>
      </c>
      <c r="J375" s="7">
        <v>2500</v>
      </c>
      <c r="K375" s="7">
        <v>20000</v>
      </c>
      <c r="L375" s="7">
        <v>9000</v>
      </c>
      <c r="M375" s="7">
        <v>11000</v>
      </c>
      <c r="N375" s="8">
        <v>0.55000000000000004</v>
      </c>
    </row>
    <row r="376" spans="1:14" x14ac:dyDescent="0.25">
      <c r="A376" s="2" t="s">
        <v>426</v>
      </c>
      <c r="B376" s="3">
        <v>45564</v>
      </c>
      <c r="C376" s="2" t="s">
        <v>386</v>
      </c>
      <c r="D376" s="2" t="s">
        <v>287</v>
      </c>
      <c r="E376" s="2" t="s">
        <v>17</v>
      </c>
      <c r="F376" s="2" t="s">
        <v>59</v>
      </c>
      <c r="G376" s="2" t="s">
        <v>24</v>
      </c>
      <c r="H376" s="2" t="s">
        <v>25</v>
      </c>
      <c r="I376" s="2">
        <v>5</v>
      </c>
      <c r="J376" s="4">
        <v>15500</v>
      </c>
      <c r="K376" s="4">
        <v>77500</v>
      </c>
      <c r="L376" s="4">
        <v>44950</v>
      </c>
      <c r="M376" s="4">
        <v>32550</v>
      </c>
      <c r="N376" s="5">
        <v>0.42</v>
      </c>
    </row>
    <row r="377" spans="1:14" x14ac:dyDescent="0.25">
      <c r="A377" t="s">
        <v>427</v>
      </c>
      <c r="B377" s="6">
        <v>45566</v>
      </c>
      <c r="C377" t="s">
        <v>428</v>
      </c>
      <c r="D377" t="s">
        <v>429</v>
      </c>
      <c r="E377" t="s">
        <v>54</v>
      </c>
      <c r="F377" t="s">
        <v>33</v>
      </c>
      <c r="G377" t="s">
        <v>63</v>
      </c>
      <c r="H377" t="s">
        <v>46</v>
      </c>
      <c r="I377">
        <v>8</v>
      </c>
      <c r="J377" s="7">
        <v>7600</v>
      </c>
      <c r="K377" s="7">
        <v>60800</v>
      </c>
      <c r="L377" s="7">
        <v>37696</v>
      </c>
      <c r="M377" s="7">
        <v>23104</v>
      </c>
      <c r="N377" s="8">
        <v>0.38</v>
      </c>
    </row>
    <row r="378" spans="1:14" x14ac:dyDescent="0.25">
      <c r="A378" s="2" t="s">
        <v>430</v>
      </c>
      <c r="B378" s="3">
        <v>45566</v>
      </c>
      <c r="C378" s="2" t="s">
        <v>428</v>
      </c>
      <c r="D378" s="2" t="s">
        <v>429</v>
      </c>
      <c r="E378" s="2" t="s">
        <v>27</v>
      </c>
      <c r="F378" s="2" t="s">
        <v>18</v>
      </c>
      <c r="G378" s="2" t="s">
        <v>19</v>
      </c>
      <c r="H378" s="2" t="s">
        <v>20</v>
      </c>
      <c r="I378" s="2">
        <v>7</v>
      </c>
      <c r="J378" s="4">
        <v>4500</v>
      </c>
      <c r="K378" s="4">
        <v>31500</v>
      </c>
      <c r="L378" s="4">
        <v>17325</v>
      </c>
      <c r="M378" s="4">
        <v>14175</v>
      </c>
      <c r="N378" s="5">
        <v>0.45</v>
      </c>
    </row>
    <row r="379" spans="1:14" x14ac:dyDescent="0.25">
      <c r="A379" t="s">
        <v>431</v>
      </c>
      <c r="B379" s="6">
        <v>45569</v>
      </c>
      <c r="C379" t="s">
        <v>428</v>
      </c>
      <c r="D379" t="s">
        <v>429</v>
      </c>
      <c r="E379" t="s">
        <v>32</v>
      </c>
      <c r="F379" t="s">
        <v>23</v>
      </c>
      <c r="G379" t="s">
        <v>50</v>
      </c>
      <c r="H379" t="s">
        <v>46</v>
      </c>
      <c r="I379">
        <v>1</v>
      </c>
      <c r="J379" s="7">
        <v>27200</v>
      </c>
      <c r="K379" s="7">
        <v>27200</v>
      </c>
      <c r="L379" s="7">
        <v>17680</v>
      </c>
      <c r="M379" s="7">
        <v>9520</v>
      </c>
      <c r="N379" s="8">
        <v>0.35</v>
      </c>
    </row>
    <row r="380" spans="1:14" x14ac:dyDescent="0.25">
      <c r="A380" s="2" t="s">
        <v>432</v>
      </c>
      <c r="B380" s="3">
        <v>45569</v>
      </c>
      <c r="C380" s="2" t="s">
        <v>428</v>
      </c>
      <c r="D380" s="2" t="s">
        <v>429</v>
      </c>
      <c r="E380" s="2" t="s">
        <v>22</v>
      </c>
      <c r="F380" s="2" t="s">
        <v>18</v>
      </c>
      <c r="G380" s="2" t="s">
        <v>50</v>
      </c>
      <c r="H380" s="2" t="s">
        <v>46</v>
      </c>
      <c r="I380" s="2">
        <v>2</v>
      </c>
      <c r="J380" s="4">
        <v>28300</v>
      </c>
      <c r="K380" s="4">
        <v>56600</v>
      </c>
      <c r="L380" s="4">
        <v>36790</v>
      </c>
      <c r="M380" s="4">
        <v>19810</v>
      </c>
      <c r="N380" s="5">
        <v>0.35</v>
      </c>
    </row>
    <row r="381" spans="1:14" x14ac:dyDescent="0.25">
      <c r="A381" t="s">
        <v>433</v>
      </c>
      <c r="B381" s="6">
        <v>45570</v>
      </c>
      <c r="C381" t="s">
        <v>428</v>
      </c>
      <c r="D381" t="s">
        <v>429</v>
      </c>
      <c r="E381" t="s">
        <v>32</v>
      </c>
      <c r="F381" t="s">
        <v>33</v>
      </c>
      <c r="G381" t="s">
        <v>50</v>
      </c>
      <c r="H381" t="s">
        <v>46</v>
      </c>
      <c r="I381">
        <v>8</v>
      </c>
      <c r="J381" s="7">
        <v>24900</v>
      </c>
      <c r="K381" s="7">
        <v>199200</v>
      </c>
      <c r="L381" s="7">
        <v>129480</v>
      </c>
      <c r="M381" s="7">
        <v>69720</v>
      </c>
      <c r="N381" s="8">
        <v>0.35</v>
      </c>
    </row>
    <row r="382" spans="1:14" x14ac:dyDescent="0.25">
      <c r="A382" s="2" t="s">
        <v>434</v>
      </c>
      <c r="B382" s="3">
        <v>45571</v>
      </c>
      <c r="C382" s="2" t="s">
        <v>428</v>
      </c>
      <c r="D382" s="2" t="s">
        <v>429</v>
      </c>
      <c r="E382" s="2" t="s">
        <v>22</v>
      </c>
      <c r="F382" s="2" t="s">
        <v>59</v>
      </c>
      <c r="G382" s="2" t="s">
        <v>29</v>
      </c>
      <c r="H382" s="2" t="s">
        <v>30</v>
      </c>
      <c r="I382" s="2">
        <v>5</v>
      </c>
      <c r="J382" s="4">
        <v>2600</v>
      </c>
      <c r="K382" s="4">
        <v>13000</v>
      </c>
      <c r="L382" s="4">
        <v>5850</v>
      </c>
      <c r="M382" s="4">
        <v>7150</v>
      </c>
      <c r="N382" s="5">
        <v>0.55000000000000004</v>
      </c>
    </row>
    <row r="383" spans="1:14" x14ac:dyDescent="0.25">
      <c r="A383" t="s">
        <v>435</v>
      </c>
      <c r="B383" s="6">
        <v>45571</v>
      </c>
      <c r="C383" t="s">
        <v>428</v>
      </c>
      <c r="D383" t="s">
        <v>429</v>
      </c>
      <c r="E383" t="s">
        <v>37</v>
      </c>
      <c r="F383" t="s">
        <v>18</v>
      </c>
      <c r="G383" t="s">
        <v>45</v>
      </c>
      <c r="H383" t="s">
        <v>46</v>
      </c>
      <c r="I383">
        <v>9</v>
      </c>
      <c r="J383" s="7">
        <v>8500</v>
      </c>
      <c r="K383" s="7">
        <v>76500</v>
      </c>
      <c r="L383" s="7">
        <v>45900</v>
      </c>
      <c r="M383" s="7">
        <v>30600</v>
      </c>
      <c r="N383" s="8">
        <v>0.4</v>
      </c>
    </row>
    <row r="384" spans="1:14" x14ac:dyDescent="0.25">
      <c r="A384" s="2" t="s">
        <v>436</v>
      </c>
      <c r="B384" s="3">
        <v>45571</v>
      </c>
      <c r="C384" s="2" t="s">
        <v>428</v>
      </c>
      <c r="D384" s="2" t="s">
        <v>429</v>
      </c>
      <c r="E384" s="2" t="s">
        <v>32</v>
      </c>
      <c r="F384" s="2" t="s">
        <v>33</v>
      </c>
      <c r="G384" s="2" t="s">
        <v>63</v>
      </c>
      <c r="H384" s="2" t="s">
        <v>46</v>
      </c>
      <c r="I384" s="2">
        <v>9</v>
      </c>
      <c r="J384" s="4">
        <v>8600</v>
      </c>
      <c r="K384" s="4">
        <v>77400</v>
      </c>
      <c r="L384" s="4">
        <v>47988</v>
      </c>
      <c r="M384" s="4">
        <v>29412</v>
      </c>
      <c r="N384" s="5">
        <v>0.38</v>
      </c>
    </row>
    <row r="385" spans="1:14" x14ac:dyDescent="0.25">
      <c r="A385" t="s">
        <v>437</v>
      </c>
      <c r="B385" s="6">
        <v>45572</v>
      </c>
      <c r="C385" t="s">
        <v>428</v>
      </c>
      <c r="D385" t="s">
        <v>429</v>
      </c>
      <c r="E385" t="s">
        <v>27</v>
      </c>
      <c r="F385" t="s">
        <v>28</v>
      </c>
      <c r="G385" t="s">
        <v>29</v>
      </c>
      <c r="H385" t="s">
        <v>30</v>
      </c>
      <c r="I385">
        <v>3</v>
      </c>
      <c r="J385" s="7">
        <v>2600</v>
      </c>
      <c r="K385" s="7">
        <v>7800</v>
      </c>
      <c r="L385" s="7">
        <v>3510</v>
      </c>
      <c r="M385" s="7">
        <v>4290</v>
      </c>
      <c r="N385" s="8">
        <v>0.55000000000000004</v>
      </c>
    </row>
    <row r="386" spans="1:14" x14ac:dyDescent="0.25">
      <c r="A386" s="2" t="s">
        <v>438</v>
      </c>
      <c r="B386" s="3">
        <v>45573</v>
      </c>
      <c r="C386" s="2" t="s">
        <v>428</v>
      </c>
      <c r="D386" s="2" t="s">
        <v>429</v>
      </c>
      <c r="E386" s="2" t="s">
        <v>54</v>
      </c>
      <c r="F386" s="2" t="s">
        <v>28</v>
      </c>
      <c r="G386" s="2" t="s">
        <v>24</v>
      </c>
      <c r="H386" s="2" t="s">
        <v>25</v>
      </c>
      <c r="I386" s="2">
        <v>8</v>
      </c>
      <c r="J386" s="4">
        <v>14800</v>
      </c>
      <c r="K386" s="4">
        <v>118400</v>
      </c>
      <c r="L386" s="4">
        <v>68672</v>
      </c>
      <c r="M386" s="4">
        <v>49728</v>
      </c>
      <c r="N386" s="5">
        <v>0.42</v>
      </c>
    </row>
    <row r="387" spans="1:14" x14ac:dyDescent="0.25">
      <c r="A387" t="s">
        <v>439</v>
      </c>
      <c r="B387" s="6">
        <v>45574</v>
      </c>
      <c r="C387" t="s">
        <v>428</v>
      </c>
      <c r="D387" t="s">
        <v>429</v>
      </c>
      <c r="E387" t="s">
        <v>22</v>
      </c>
      <c r="F387" t="s">
        <v>28</v>
      </c>
      <c r="G387" t="s">
        <v>29</v>
      </c>
      <c r="H387" t="s">
        <v>30</v>
      </c>
      <c r="I387">
        <v>4</v>
      </c>
      <c r="J387" s="7">
        <v>2500</v>
      </c>
      <c r="K387" s="7">
        <v>10000</v>
      </c>
      <c r="L387" s="7">
        <v>4500</v>
      </c>
      <c r="M387" s="7">
        <v>5500</v>
      </c>
      <c r="N387" s="8">
        <v>0.55000000000000004</v>
      </c>
    </row>
    <row r="388" spans="1:14" x14ac:dyDescent="0.25">
      <c r="A388" s="2" t="s">
        <v>440</v>
      </c>
      <c r="B388" s="3">
        <v>45574</v>
      </c>
      <c r="C388" s="2" t="s">
        <v>428</v>
      </c>
      <c r="D388" s="2" t="s">
        <v>429</v>
      </c>
      <c r="E388" s="2" t="s">
        <v>37</v>
      </c>
      <c r="F388" s="2" t="s">
        <v>28</v>
      </c>
      <c r="G388" s="2" t="s">
        <v>34</v>
      </c>
      <c r="H388" s="2" t="s">
        <v>35</v>
      </c>
      <c r="I388" s="2">
        <v>9</v>
      </c>
      <c r="J388" s="4">
        <v>3200</v>
      </c>
      <c r="K388" s="4">
        <v>28800</v>
      </c>
      <c r="L388" s="4">
        <v>13824</v>
      </c>
      <c r="M388" s="4">
        <v>14976</v>
      </c>
      <c r="N388" s="5">
        <v>0.52</v>
      </c>
    </row>
    <row r="389" spans="1:14" x14ac:dyDescent="0.25">
      <c r="A389" t="s">
        <v>441</v>
      </c>
      <c r="B389" s="6">
        <v>45575</v>
      </c>
      <c r="C389" t="s">
        <v>428</v>
      </c>
      <c r="D389" t="s">
        <v>429</v>
      </c>
      <c r="E389" t="s">
        <v>37</v>
      </c>
      <c r="F389" t="s">
        <v>23</v>
      </c>
      <c r="G389" t="s">
        <v>50</v>
      </c>
      <c r="H389" t="s">
        <v>46</v>
      </c>
      <c r="I389">
        <v>2</v>
      </c>
      <c r="J389" s="7">
        <v>26800</v>
      </c>
      <c r="K389" s="7">
        <v>53600</v>
      </c>
      <c r="L389" s="7">
        <v>34840</v>
      </c>
      <c r="M389" s="7">
        <v>18760</v>
      </c>
      <c r="N389" s="8">
        <v>0.35</v>
      </c>
    </row>
    <row r="390" spans="1:14" x14ac:dyDescent="0.25">
      <c r="A390" s="2" t="s">
        <v>442</v>
      </c>
      <c r="B390" s="3">
        <v>45575</v>
      </c>
      <c r="C390" s="2" t="s">
        <v>428</v>
      </c>
      <c r="D390" s="2" t="s">
        <v>429</v>
      </c>
      <c r="E390" s="2" t="s">
        <v>54</v>
      </c>
      <c r="F390" s="2" t="s">
        <v>42</v>
      </c>
      <c r="G390" s="2" t="s">
        <v>29</v>
      </c>
      <c r="H390" s="2" t="s">
        <v>30</v>
      </c>
      <c r="I390" s="2">
        <v>4</v>
      </c>
      <c r="J390" s="4">
        <v>2600</v>
      </c>
      <c r="K390" s="4">
        <v>10400</v>
      </c>
      <c r="L390" s="4">
        <v>4680</v>
      </c>
      <c r="M390" s="4">
        <v>5720</v>
      </c>
      <c r="N390" s="5">
        <v>0.55000000000000004</v>
      </c>
    </row>
    <row r="391" spans="1:14" x14ac:dyDescent="0.25">
      <c r="A391" t="s">
        <v>443</v>
      </c>
      <c r="B391" s="6">
        <v>45575</v>
      </c>
      <c r="C391" t="s">
        <v>428</v>
      </c>
      <c r="D391" t="s">
        <v>429</v>
      </c>
      <c r="E391" t="s">
        <v>27</v>
      </c>
      <c r="F391" t="s">
        <v>23</v>
      </c>
      <c r="G391" t="s">
        <v>24</v>
      </c>
      <c r="H391" t="s">
        <v>25</v>
      </c>
      <c r="I391">
        <v>9</v>
      </c>
      <c r="J391" s="7">
        <v>15300</v>
      </c>
      <c r="K391" s="7">
        <v>137700</v>
      </c>
      <c r="L391" s="7">
        <v>79866</v>
      </c>
      <c r="M391" s="7">
        <v>57834</v>
      </c>
      <c r="N391" s="8">
        <v>0.42</v>
      </c>
    </row>
    <row r="392" spans="1:14" x14ac:dyDescent="0.25">
      <c r="A392" s="2" t="s">
        <v>444</v>
      </c>
      <c r="B392" s="3">
        <v>45576</v>
      </c>
      <c r="C392" s="2" t="s">
        <v>428</v>
      </c>
      <c r="D392" s="2" t="s">
        <v>429</v>
      </c>
      <c r="E392" s="2" t="s">
        <v>54</v>
      </c>
      <c r="F392" s="2" t="s">
        <v>23</v>
      </c>
      <c r="G392" s="2" t="s">
        <v>34</v>
      </c>
      <c r="H392" s="2" t="s">
        <v>35</v>
      </c>
      <c r="I392" s="2">
        <v>2</v>
      </c>
      <c r="J392" s="4">
        <v>3200</v>
      </c>
      <c r="K392" s="4">
        <v>6400</v>
      </c>
      <c r="L392" s="4">
        <v>3072</v>
      </c>
      <c r="M392" s="4">
        <v>3328</v>
      </c>
      <c r="N392" s="5">
        <v>0.52</v>
      </c>
    </row>
    <row r="393" spans="1:14" x14ac:dyDescent="0.25">
      <c r="A393" t="s">
        <v>445</v>
      </c>
      <c r="B393" s="6">
        <v>45577</v>
      </c>
      <c r="C393" t="s">
        <v>428</v>
      </c>
      <c r="D393" t="s">
        <v>429</v>
      </c>
      <c r="E393" t="s">
        <v>22</v>
      </c>
      <c r="F393" t="s">
        <v>42</v>
      </c>
      <c r="G393" t="s">
        <v>29</v>
      </c>
      <c r="H393" t="s">
        <v>30</v>
      </c>
      <c r="I393">
        <v>2</v>
      </c>
      <c r="J393" s="7">
        <v>2800</v>
      </c>
      <c r="K393" s="7">
        <v>5600</v>
      </c>
      <c r="L393" s="7">
        <v>2520</v>
      </c>
      <c r="M393" s="7">
        <v>3080</v>
      </c>
      <c r="N393" s="8">
        <v>0.55000000000000004</v>
      </c>
    </row>
    <row r="394" spans="1:14" x14ac:dyDescent="0.25">
      <c r="A394" s="2" t="s">
        <v>446</v>
      </c>
      <c r="B394" s="3">
        <v>45577</v>
      </c>
      <c r="C394" s="2" t="s">
        <v>428</v>
      </c>
      <c r="D394" s="2" t="s">
        <v>429</v>
      </c>
      <c r="E394" s="2" t="s">
        <v>17</v>
      </c>
      <c r="F394" s="2" t="s">
        <v>23</v>
      </c>
      <c r="G394" s="2" t="s">
        <v>24</v>
      </c>
      <c r="H394" s="2" t="s">
        <v>25</v>
      </c>
      <c r="I394" s="2">
        <v>4</v>
      </c>
      <c r="J394" s="4">
        <v>16300</v>
      </c>
      <c r="K394" s="4">
        <v>65200</v>
      </c>
      <c r="L394" s="4">
        <v>37816</v>
      </c>
      <c r="M394" s="4">
        <v>27384</v>
      </c>
      <c r="N394" s="5">
        <v>0.42</v>
      </c>
    </row>
    <row r="395" spans="1:14" x14ac:dyDescent="0.25">
      <c r="A395" t="s">
        <v>447</v>
      </c>
      <c r="B395" s="6">
        <v>45577</v>
      </c>
      <c r="C395" t="s">
        <v>428</v>
      </c>
      <c r="D395" t="s">
        <v>429</v>
      </c>
      <c r="E395" t="s">
        <v>22</v>
      </c>
      <c r="F395" t="s">
        <v>33</v>
      </c>
      <c r="G395" t="s">
        <v>29</v>
      </c>
      <c r="H395" t="s">
        <v>30</v>
      </c>
      <c r="I395">
        <v>7</v>
      </c>
      <c r="J395" s="7">
        <v>2500</v>
      </c>
      <c r="K395" s="7">
        <v>17500</v>
      </c>
      <c r="L395" s="7">
        <v>7875</v>
      </c>
      <c r="M395" s="7">
        <v>9625</v>
      </c>
      <c r="N395" s="8">
        <v>0.55000000000000004</v>
      </c>
    </row>
    <row r="396" spans="1:14" x14ac:dyDescent="0.25">
      <c r="A396" s="2" t="s">
        <v>448</v>
      </c>
      <c r="B396" s="3">
        <v>45579</v>
      </c>
      <c r="C396" s="2" t="s">
        <v>428</v>
      </c>
      <c r="D396" s="2" t="s">
        <v>429</v>
      </c>
      <c r="E396" s="2" t="s">
        <v>32</v>
      </c>
      <c r="F396" s="2" t="s">
        <v>42</v>
      </c>
      <c r="G396" s="2" t="s">
        <v>50</v>
      </c>
      <c r="H396" s="2" t="s">
        <v>46</v>
      </c>
      <c r="I396" s="2">
        <v>5</v>
      </c>
      <c r="J396" s="4">
        <v>26300</v>
      </c>
      <c r="K396" s="4">
        <v>131500</v>
      </c>
      <c r="L396" s="4">
        <v>85475</v>
      </c>
      <c r="M396" s="4">
        <v>46025</v>
      </c>
      <c r="N396" s="5">
        <v>0.35</v>
      </c>
    </row>
    <row r="397" spans="1:14" x14ac:dyDescent="0.25">
      <c r="A397" t="s">
        <v>449</v>
      </c>
      <c r="B397" s="6">
        <v>45579</v>
      </c>
      <c r="C397" t="s">
        <v>428</v>
      </c>
      <c r="D397" t="s">
        <v>429</v>
      </c>
      <c r="E397" t="s">
        <v>17</v>
      </c>
      <c r="F397" t="s">
        <v>42</v>
      </c>
      <c r="G397" t="s">
        <v>34</v>
      </c>
      <c r="H397" t="s">
        <v>35</v>
      </c>
      <c r="I397">
        <v>9</v>
      </c>
      <c r="J397" s="7">
        <v>4000</v>
      </c>
      <c r="K397" s="7">
        <v>36000</v>
      </c>
      <c r="L397" s="7">
        <v>17280</v>
      </c>
      <c r="M397" s="7">
        <v>18720</v>
      </c>
      <c r="N397" s="8">
        <v>0.52</v>
      </c>
    </row>
    <row r="398" spans="1:14" x14ac:dyDescent="0.25">
      <c r="A398" s="2" t="s">
        <v>450</v>
      </c>
      <c r="B398" s="3">
        <v>45581</v>
      </c>
      <c r="C398" s="2" t="s">
        <v>428</v>
      </c>
      <c r="D398" s="2" t="s">
        <v>429</v>
      </c>
      <c r="E398" s="2" t="s">
        <v>27</v>
      </c>
      <c r="F398" s="2" t="s">
        <v>59</v>
      </c>
      <c r="G398" s="2" t="s">
        <v>24</v>
      </c>
      <c r="H398" s="2" t="s">
        <v>25</v>
      </c>
      <c r="I398" s="2">
        <v>6</v>
      </c>
      <c r="J398" s="4">
        <v>16700</v>
      </c>
      <c r="K398" s="4">
        <v>100200</v>
      </c>
      <c r="L398" s="4">
        <v>58116</v>
      </c>
      <c r="M398" s="4">
        <v>42084</v>
      </c>
      <c r="N398" s="5">
        <v>0.42</v>
      </c>
    </row>
    <row r="399" spans="1:14" x14ac:dyDescent="0.25">
      <c r="A399" t="s">
        <v>451</v>
      </c>
      <c r="B399" s="6">
        <v>45583</v>
      </c>
      <c r="C399" t="s">
        <v>428</v>
      </c>
      <c r="D399" t="s">
        <v>429</v>
      </c>
      <c r="E399" t="s">
        <v>17</v>
      </c>
      <c r="F399" t="s">
        <v>18</v>
      </c>
      <c r="G399" t="s">
        <v>29</v>
      </c>
      <c r="H399" t="s">
        <v>30</v>
      </c>
      <c r="I399">
        <v>1</v>
      </c>
      <c r="J399" s="7">
        <v>2600</v>
      </c>
      <c r="K399" s="7">
        <v>2600</v>
      </c>
      <c r="L399" s="7">
        <v>1170</v>
      </c>
      <c r="M399" s="7">
        <v>1430</v>
      </c>
      <c r="N399" s="8">
        <v>0.55000000000000004</v>
      </c>
    </row>
    <row r="400" spans="1:14" x14ac:dyDescent="0.25">
      <c r="A400" s="2" t="s">
        <v>452</v>
      </c>
      <c r="B400" s="3">
        <v>45583</v>
      </c>
      <c r="C400" s="2" t="s">
        <v>428</v>
      </c>
      <c r="D400" s="2" t="s">
        <v>429</v>
      </c>
      <c r="E400" s="2" t="s">
        <v>54</v>
      </c>
      <c r="F400" s="2" t="s">
        <v>42</v>
      </c>
      <c r="G400" s="2" t="s">
        <v>34</v>
      </c>
      <c r="H400" s="2" t="s">
        <v>35</v>
      </c>
      <c r="I400" s="2">
        <v>8</v>
      </c>
      <c r="J400" s="4">
        <v>3400</v>
      </c>
      <c r="K400" s="4">
        <v>27200</v>
      </c>
      <c r="L400" s="4">
        <v>13056</v>
      </c>
      <c r="M400" s="4">
        <v>14144</v>
      </c>
      <c r="N400" s="5">
        <v>0.52</v>
      </c>
    </row>
    <row r="401" spans="1:14" x14ac:dyDescent="0.25">
      <c r="A401" t="s">
        <v>453</v>
      </c>
      <c r="B401" s="6">
        <v>45583</v>
      </c>
      <c r="C401" t="s">
        <v>428</v>
      </c>
      <c r="D401" t="s">
        <v>429</v>
      </c>
      <c r="E401" t="s">
        <v>37</v>
      </c>
      <c r="F401" t="s">
        <v>28</v>
      </c>
      <c r="G401" t="s">
        <v>19</v>
      </c>
      <c r="H401" t="s">
        <v>20</v>
      </c>
      <c r="I401">
        <v>8</v>
      </c>
      <c r="J401" s="7">
        <v>5000</v>
      </c>
      <c r="K401" s="7">
        <v>40000</v>
      </c>
      <c r="L401" s="7">
        <v>22000</v>
      </c>
      <c r="M401" s="7">
        <v>18000</v>
      </c>
      <c r="N401" s="8">
        <v>0.45</v>
      </c>
    </row>
    <row r="402" spans="1:14" x14ac:dyDescent="0.25">
      <c r="A402" s="2" t="s">
        <v>454</v>
      </c>
      <c r="B402" s="3">
        <v>45583</v>
      </c>
      <c r="C402" s="2" t="s">
        <v>428</v>
      </c>
      <c r="D402" s="2" t="s">
        <v>429</v>
      </c>
      <c r="E402" s="2" t="s">
        <v>54</v>
      </c>
      <c r="F402" s="2" t="s">
        <v>59</v>
      </c>
      <c r="G402" s="2" t="s">
        <v>29</v>
      </c>
      <c r="H402" s="2" t="s">
        <v>30</v>
      </c>
      <c r="I402" s="2">
        <v>6</v>
      </c>
      <c r="J402" s="4">
        <v>2600</v>
      </c>
      <c r="K402" s="4">
        <v>15600</v>
      </c>
      <c r="L402" s="4">
        <v>7020</v>
      </c>
      <c r="M402" s="4">
        <v>8580</v>
      </c>
      <c r="N402" s="5">
        <v>0.55000000000000004</v>
      </c>
    </row>
    <row r="403" spans="1:14" x14ac:dyDescent="0.25">
      <c r="A403" t="s">
        <v>455</v>
      </c>
      <c r="B403" s="6">
        <v>45585</v>
      </c>
      <c r="C403" t="s">
        <v>428</v>
      </c>
      <c r="D403" t="s">
        <v>429</v>
      </c>
      <c r="E403" t="s">
        <v>54</v>
      </c>
      <c r="F403" t="s">
        <v>33</v>
      </c>
      <c r="G403" t="s">
        <v>63</v>
      </c>
      <c r="H403" t="s">
        <v>46</v>
      </c>
      <c r="I403">
        <v>7</v>
      </c>
      <c r="J403" s="7">
        <v>8300</v>
      </c>
      <c r="K403" s="7">
        <v>58100</v>
      </c>
      <c r="L403" s="7">
        <v>36022</v>
      </c>
      <c r="M403" s="7">
        <v>22078</v>
      </c>
      <c r="N403" s="8">
        <v>0.38</v>
      </c>
    </row>
    <row r="404" spans="1:14" x14ac:dyDescent="0.25">
      <c r="A404" s="2" t="s">
        <v>456</v>
      </c>
      <c r="B404" s="3">
        <v>45585</v>
      </c>
      <c r="C404" s="2" t="s">
        <v>428</v>
      </c>
      <c r="D404" s="2" t="s">
        <v>429</v>
      </c>
      <c r="E404" s="2" t="s">
        <v>37</v>
      </c>
      <c r="F404" s="2" t="s">
        <v>42</v>
      </c>
      <c r="G404" s="2" t="s">
        <v>50</v>
      </c>
      <c r="H404" s="2" t="s">
        <v>46</v>
      </c>
      <c r="I404" s="2">
        <v>6</v>
      </c>
      <c r="J404" s="4">
        <v>24100</v>
      </c>
      <c r="K404" s="4">
        <v>144600</v>
      </c>
      <c r="L404" s="4">
        <v>93990</v>
      </c>
      <c r="M404" s="4">
        <v>50610</v>
      </c>
      <c r="N404" s="5">
        <v>0.35</v>
      </c>
    </row>
    <row r="405" spans="1:14" x14ac:dyDescent="0.25">
      <c r="A405" t="s">
        <v>457</v>
      </c>
      <c r="B405" s="6">
        <v>45586</v>
      </c>
      <c r="C405" t="s">
        <v>428</v>
      </c>
      <c r="D405" t="s">
        <v>429</v>
      </c>
      <c r="E405" t="s">
        <v>32</v>
      </c>
      <c r="F405" t="s">
        <v>33</v>
      </c>
      <c r="G405" t="s">
        <v>19</v>
      </c>
      <c r="H405" t="s">
        <v>20</v>
      </c>
      <c r="I405">
        <v>5</v>
      </c>
      <c r="J405" s="7">
        <v>5700</v>
      </c>
      <c r="K405" s="7">
        <v>28500</v>
      </c>
      <c r="L405" s="7">
        <v>15675</v>
      </c>
      <c r="M405" s="7">
        <v>12825</v>
      </c>
      <c r="N405" s="8">
        <v>0.45</v>
      </c>
    </row>
    <row r="406" spans="1:14" x14ac:dyDescent="0.25">
      <c r="A406" s="2" t="s">
        <v>458</v>
      </c>
      <c r="B406" s="3">
        <v>45586</v>
      </c>
      <c r="C406" s="2" t="s">
        <v>428</v>
      </c>
      <c r="D406" s="2" t="s">
        <v>429</v>
      </c>
      <c r="E406" s="2" t="s">
        <v>22</v>
      </c>
      <c r="F406" s="2" t="s">
        <v>18</v>
      </c>
      <c r="G406" s="2" t="s">
        <v>29</v>
      </c>
      <c r="H406" s="2" t="s">
        <v>30</v>
      </c>
      <c r="I406" s="2">
        <v>5</v>
      </c>
      <c r="J406" s="4">
        <v>2700</v>
      </c>
      <c r="K406" s="4">
        <v>13500</v>
      </c>
      <c r="L406" s="4">
        <v>6075</v>
      </c>
      <c r="M406" s="4">
        <v>7425</v>
      </c>
      <c r="N406" s="5">
        <v>0.55000000000000004</v>
      </c>
    </row>
    <row r="407" spans="1:14" x14ac:dyDescent="0.25">
      <c r="A407" t="s">
        <v>459</v>
      </c>
      <c r="B407" s="6">
        <v>45587</v>
      </c>
      <c r="C407" t="s">
        <v>428</v>
      </c>
      <c r="D407" t="s">
        <v>429</v>
      </c>
      <c r="E407" t="s">
        <v>22</v>
      </c>
      <c r="F407" t="s">
        <v>42</v>
      </c>
      <c r="G407" t="s">
        <v>29</v>
      </c>
      <c r="H407" t="s">
        <v>30</v>
      </c>
      <c r="I407">
        <v>10</v>
      </c>
      <c r="J407" s="7">
        <v>2700</v>
      </c>
      <c r="K407" s="7">
        <v>27000</v>
      </c>
      <c r="L407" s="7">
        <v>12150</v>
      </c>
      <c r="M407" s="7">
        <v>14850</v>
      </c>
      <c r="N407" s="8">
        <v>0.55000000000000004</v>
      </c>
    </row>
    <row r="408" spans="1:14" x14ac:dyDescent="0.25">
      <c r="A408" s="2" t="s">
        <v>460</v>
      </c>
      <c r="B408" s="3">
        <v>45591</v>
      </c>
      <c r="C408" s="2" t="s">
        <v>428</v>
      </c>
      <c r="D408" s="2" t="s">
        <v>429</v>
      </c>
      <c r="E408" s="2" t="s">
        <v>54</v>
      </c>
      <c r="F408" s="2" t="s">
        <v>42</v>
      </c>
      <c r="G408" s="2" t="s">
        <v>34</v>
      </c>
      <c r="H408" s="2" t="s">
        <v>35</v>
      </c>
      <c r="I408" s="2">
        <v>7</v>
      </c>
      <c r="J408" s="4">
        <v>3900</v>
      </c>
      <c r="K408" s="4">
        <v>27300</v>
      </c>
      <c r="L408" s="4">
        <v>13104</v>
      </c>
      <c r="M408" s="4">
        <v>14196</v>
      </c>
      <c r="N408" s="5">
        <v>0.52</v>
      </c>
    </row>
    <row r="409" spans="1:14" x14ac:dyDescent="0.25">
      <c r="A409" t="s">
        <v>461</v>
      </c>
      <c r="B409" s="6">
        <v>45591</v>
      </c>
      <c r="C409" t="s">
        <v>428</v>
      </c>
      <c r="D409" t="s">
        <v>429</v>
      </c>
      <c r="E409" t="s">
        <v>32</v>
      </c>
      <c r="F409" t="s">
        <v>59</v>
      </c>
      <c r="G409" t="s">
        <v>34</v>
      </c>
      <c r="H409" t="s">
        <v>35</v>
      </c>
      <c r="I409">
        <v>8</v>
      </c>
      <c r="J409" s="7">
        <v>3700</v>
      </c>
      <c r="K409" s="7">
        <v>29600</v>
      </c>
      <c r="L409" s="7">
        <v>14208</v>
      </c>
      <c r="M409" s="7">
        <v>15392</v>
      </c>
      <c r="N409" s="8">
        <v>0.52</v>
      </c>
    </row>
    <row r="410" spans="1:14" x14ac:dyDescent="0.25">
      <c r="A410" s="2" t="s">
        <v>462</v>
      </c>
      <c r="B410" s="3">
        <v>45592</v>
      </c>
      <c r="C410" s="2" t="s">
        <v>428</v>
      </c>
      <c r="D410" s="2" t="s">
        <v>429</v>
      </c>
      <c r="E410" s="2" t="s">
        <v>17</v>
      </c>
      <c r="F410" s="2" t="s">
        <v>18</v>
      </c>
      <c r="G410" s="2" t="s">
        <v>50</v>
      </c>
      <c r="H410" s="2" t="s">
        <v>46</v>
      </c>
      <c r="I410" s="2">
        <v>5</v>
      </c>
      <c r="J410" s="4">
        <v>28700</v>
      </c>
      <c r="K410" s="4">
        <v>143500</v>
      </c>
      <c r="L410" s="4">
        <v>93275</v>
      </c>
      <c r="M410" s="4">
        <v>50225</v>
      </c>
      <c r="N410" s="5">
        <v>0.35</v>
      </c>
    </row>
    <row r="411" spans="1:14" x14ac:dyDescent="0.25">
      <c r="A411" t="s">
        <v>463</v>
      </c>
      <c r="B411" s="6">
        <v>45592</v>
      </c>
      <c r="C411" t="s">
        <v>428</v>
      </c>
      <c r="D411" t="s">
        <v>429</v>
      </c>
      <c r="E411" t="s">
        <v>17</v>
      </c>
      <c r="F411" t="s">
        <v>59</v>
      </c>
      <c r="G411" t="s">
        <v>45</v>
      </c>
      <c r="H411" t="s">
        <v>46</v>
      </c>
      <c r="I411">
        <v>8</v>
      </c>
      <c r="J411" s="7">
        <v>10000</v>
      </c>
      <c r="K411" s="7">
        <v>80000</v>
      </c>
      <c r="L411" s="7">
        <v>48000</v>
      </c>
      <c r="M411" s="7">
        <v>32000</v>
      </c>
      <c r="N411" s="8">
        <v>0.4</v>
      </c>
    </row>
    <row r="412" spans="1:14" x14ac:dyDescent="0.25">
      <c r="A412" s="2" t="s">
        <v>464</v>
      </c>
      <c r="B412" s="3">
        <v>45592</v>
      </c>
      <c r="C412" s="2" t="s">
        <v>428</v>
      </c>
      <c r="D412" s="2" t="s">
        <v>429</v>
      </c>
      <c r="E412" s="2" t="s">
        <v>32</v>
      </c>
      <c r="F412" s="2" t="s">
        <v>28</v>
      </c>
      <c r="G412" s="2" t="s">
        <v>63</v>
      </c>
      <c r="H412" s="2" t="s">
        <v>46</v>
      </c>
      <c r="I412" s="2">
        <v>7</v>
      </c>
      <c r="J412" s="4">
        <v>8700</v>
      </c>
      <c r="K412" s="4">
        <v>60900</v>
      </c>
      <c r="L412" s="4">
        <v>37758</v>
      </c>
      <c r="M412" s="4">
        <v>23142</v>
      </c>
      <c r="N412" s="5">
        <v>0.38</v>
      </c>
    </row>
    <row r="413" spans="1:14" x14ac:dyDescent="0.25">
      <c r="A413" t="s">
        <v>465</v>
      </c>
      <c r="B413" s="6">
        <v>45593</v>
      </c>
      <c r="C413" t="s">
        <v>428</v>
      </c>
      <c r="D413" t="s">
        <v>429</v>
      </c>
      <c r="E413" t="s">
        <v>32</v>
      </c>
      <c r="F413" t="s">
        <v>33</v>
      </c>
      <c r="G413" t="s">
        <v>29</v>
      </c>
      <c r="H413" t="s">
        <v>30</v>
      </c>
      <c r="I413">
        <v>1</v>
      </c>
      <c r="J413" s="7">
        <v>2600</v>
      </c>
      <c r="K413" s="7">
        <v>2600</v>
      </c>
      <c r="L413" s="7">
        <v>1170</v>
      </c>
      <c r="M413" s="7">
        <v>1430</v>
      </c>
      <c r="N413" s="8">
        <v>0.55000000000000004</v>
      </c>
    </row>
    <row r="414" spans="1:14" x14ac:dyDescent="0.25">
      <c r="A414" s="2" t="s">
        <v>466</v>
      </c>
      <c r="B414" s="3">
        <v>45593</v>
      </c>
      <c r="C414" s="2" t="s">
        <v>428</v>
      </c>
      <c r="D414" s="2" t="s">
        <v>429</v>
      </c>
      <c r="E414" s="2" t="s">
        <v>54</v>
      </c>
      <c r="F414" s="2" t="s">
        <v>42</v>
      </c>
      <c r="G414" s="2" t="s">
        <v>19</v>
      </c>
      <c r="H414" s="2" t="s">
        <v>20</v>
      </c>
      <c r="I414" s="2">
        <v>4</v>
      </c>
      <c r="J414" s="4">
        <v>5700</v>
      </c>
      <c r="K414" s="4">
        <v>22800</v>
      </c>
      <c r="L414" s="4">
        <v>12540</v>
      </c>
      <c r="M414" s="4">
        <v>10260</v>
      </c>
      <c r="N414" s="5">
        <v>0.45</v>
      </c>
    </row>
    <row r="415" spans="1:14" x14ac:dyDescent="0.25">
      <c r="A415" t="s">
        <v>467</v>
      </c>
      <c r="B415" s="6">
        <v>45593</v>
      </c>
      <c r="C415" t="s">
        <v>428</v>
      </c>
      <c r="D415" t="s">
        <v>429</v>
      </c>
      <c r="E415" t="s">
        <v>22</v>
      </c>
      <c r="F415" t="s">
        <v>18</v>
      </c>
      <c r="G415" t="s">
        <v>63</v>
      </c>
      <c r="H415" t="s">
        <v>46</v>
      </c>
      <c r="I415">
        <v>1</v>
      </c>
      <c r="J415" s="7">
        <v>7900</v>
      </c>
      <c r="K415" s="7">
        <v>7900</v>
      </c>
      <c r="L415" s="7">
        <v>4898</v>
      </c>
      <c r="M415" s="7">
        <v>3002</v>
      </c>
      <c r="N415" s="8">
        <v>0.38</v>
      </c>
    </row>
    <row r="416" spans="1:14" x14ac:dyDescent="0.25">
      <c r="A416" s="2" t="s">
        <v>468</v>
      </c>
      <c r="B416" s="3">
        <v>45594</v>
      </c>
      <c r="C416" s="2" t="s">
        <v>428</v>
      </c>
      <c r="D416" s="2" t="s">
        <v>429</v>
      </c>
      <c r="E416" s="2" t="s">
        <v>32</v>
      </c>
      <c r="F416" s="2" t="s">
        <v>23</v>
      </c>
      <c r="G416" s="2" t="s">
        <v>24</v>
      </c>
      <c r="H416" s="2" t="s">
        <v>25</v>
      </c>
      <c r="I416" s="2">
        <v>8</v>
      </c>
      <c r="J416" s="4">
        <v>16800</v>
      </c>
      <c r="K416" s="4">
        <v>134400</v>
      </c>
      <c r="L416" s="4">
        <v>77952</v>
      </c>
      <c r="M416" s="4">
        <v>56448</v>
      </c>
      <c r="N416" s="5">
        <v>0.42</v>
      </c>
    </row>
    <row r="417" spans="1:14" x14ac:dyDescent="0.25">
      <c r="A417" t="s">
        <v>469</v>
      </c>
      <c r="B417" s="6">
        <v>45595</v>
      </c>
      <c r="C417" t="s">
        <v>428</v>
      </c>
      <c r="D417" t="s">
        <v>429</v>
      </c>
      <c r="E417" t="s">
        <v>27</v>
      </c>
      <c r="F417" t="s">
        <v>59</v>
      </c>
      <c r="G417" t="s">
        <v>50</v>
      </c>
      <c r="H417" t="s">
        <v>46</v>
      </c>
      <c r="I417">
        <v>7</v>
      </c>
      <c r="J417" s="7">
        <v>23000</v>
      </c>
      <c r="K417" s="7">
        <v>161000</v>
      </c>
      <c r="L417" s="7">
        <v>104650</v>
      </c>
      <c r="M417" s="7">
        <v>56350</v>
      </c>
      <c r="N417" s="8">
        <v>0.35</v>
      </c>
    </row>
    <row r="418" spans="1:14" x14ac:dyDescent="0.25">
      <c r="A418" s="2" t="s">
        <v>470</v>
      </c>
      <c r="B418" s="3">
        <v>45595</v>
      </c>
      <c r="C418" s="2" t="s">
        <v>428</v>
      </c>
      <c r="D418" s="2" t="s">
        <v>429</v>
      </c>
      <c r="E418" s="2" t="s">
        <v>17</v>
      </c>
      <c r="F418" s="2" t="s">
        <v>59</v>
      </c>
      <c r="G418" s="2" t="s">
        <v>24</v>
      </c>
      <c r="H418" s="2" t="s">
        <v>25</v>
      </c>
      <c r="I418" s="2">
        <v>9</v>
      </c>
      <c r="J418" s="4">
        <v>15400</v>
      </c>
      <c r="K418" s="4">
        <v>138600</v>
      </c>
      <c r="L418" s="4">
        <v>80388</v>
      </c>
      <c r="M418" s="4">
        <v>58212</v>
      </c>
      <c r="N418" s="5">
        <v>0.42</v>
      </c>
    </row>
    <row r="419" spans="1:14" x14ac:dyDescent="0.25">
      <c r="A419" t="s">
        <v>471</v>
      </c>
      <c r="B419" s="6">
        <v>45595</v>
      </c>
      <c r="C419" t="s">
        <v>428</v>
      </c>
      <c r="D419" t="s">
        <v>429</v>
      </c>
      <c r="E419" t="s">
        <v>27</v>
      </c>
      <c r="F419" t="s">
        <v>28</v>
      </c>
      <c r="G419" t="s">
        <v>34</v>
      </c>
      <c r="H419" t="s">
        <v>35</v>
      </c>
      <c r="I419">
        <v>4</v>
      </c>
      <c r="J419" s="7">
        <v>3500</v>
      </c>
      <c r="K419" s="7">
        <v>14000</v>
      </c>
      <c r="L419" s="7">
        <v>6720</v>
      </c>
      <c r="M419" s="7">
        <v>7280</v>
      </c>
      <c r="N419" s="8">
        <v>0.52</v>
      </c>
    </row>
    <row r="420" spans="1:14" x14ac:dyDescent="0.25">
      <c r="A420" s="2" t="s">
        <v>472</v>
      </c>
      <c r="B420" s="3">
        <v>45596</v>
      </c>
      <c r="C420" s="2" t="s">
        <v>428</v>
      </c>
      <c r="D420" s="2" t="s">
        <v>429</v>
      </c>
      <c r="E420" s="2" t="s">
        <v>37</v>
      </c>
      <c r="F420" s="2" t="s">
        <v>33</v>
      </c>
      <c r="G420" s="2" t="s">
        <v>38</v>
      </c>
      <c r="H420" s="2" t="s">
        <v>39</v>
      </c>
      <c r="I420" s="2">
        <v>4</v>
      </c>
      <c r="J420" s="4">
        <v>11100</v>
      </c>
      <c r="K420" s="4">
        <v>44400</v>
      </c>
      <c r="L420" s="4">
        <v>26640</v>
      </c>
      <c r="M420" s="4">
        <v>17760</v>
      </c>
      <c r="N420" s="5">
        <v>0.4</v>
      </c>
    </row>
    <row r="421" spans="1:14" x14ac:dyDescent="0.25">
      <c r="A421" t="s">
        <v>473</v>
      </c>
      <c r="B421" s="6">
        <v>45597</v>
      </c>
      <c r="C421" t="s">
        <v>474</v>
      </c>
      <c r="D421" t="s">
        <v>429</v>
      </c>
      <c r="E421" t="s">
        <v>22</v>
      </c>
      <c r="F421" t="s">
        <v>23</v>
      </c>
      <c r="G421" t="s">
        <v>34</v>
      </c>
      <c r="H421" t="s">
        <v>35</v>
      </c>
      <c r="I421">
        <v>6</v>
      </c>
      <c r="J421" s="7">
        <v>3500</v>
      </c>
      <c r="K421" s="7">
        <v>21000</v>
      </c>
      <c r="L421" s="7">
        <v>10080</v>
      </c>
      <c r="M421" s="7">
        <v>10920</v>
      </c>
      <c r="N421" s="8">
        <v>0.52</v>
      </c>
    </row>
    <row r="422" spans="1:14" x14ac:dyDescent="0.25">
      <c r="A422" s="2" t="s">
        <v>475</v>
      </c>
      <c r="B422" s="3">
        <v>45597</v>
      </c>
      <c r="C422" s="2" t="s">
        <v>474</v>
      </c>
      <c r="D422" s="2" t="s">
        <v>429</v>
      </c>
      <c r="E422" s="2" t="s">
        <v>27</v>
      </c>
      <c r="F422" s="2" t="s">
        <v>18</v>
      </c>
      <c r="G422" s="2" t="s">
        <v>19</v>
      </c>
      <c r="H422" s="2" t="s">
        <v>20</v>
      </c>
      <c r="I422" s="2">
        <v>9</v>
      </c>
      <c r="J422" s="4">
        <v>5200</v>
      </c>
      <c r="K422" s="4">
        <v>46800</v>
      </c>
      <c r="L422" s="4">
        <v>25740</v>
      </c>
      <c r="M422" s="4">
        <v>21060</v>
      </c>
      <c r="N422" s="5">
        <v>0.45</v>
      </c>
    </row>
    <row r="423" spans="1:14" x14ac:dyDescent="0.25">
      <c r="A423" t="s">
        <v>476</v>
      </c>
      <c r="B423" s="6">
        <v>45597</v>
      </c>
      <c r="C423" t="s">
        <v>474</v>
      </c>
      <c r="D423" t="s">
        <v>429</v>
      </c>
      <c r="E423" t="s">
        <v>27</v>
      </c>
      <c r="F423" t="s">
        <v>23</v>
      </c>
      <c r="G423" t="s">
        <v>50</v>
      </c>
      <c r="H423" t="s">
        <v>46</v>
      </c>
      <c r="I423">
        <v>3</v>
      </c>
      <c r="J423" s="7">
        <v>24200</v>
      </c>
      <c r="K423" s="7">
        <v>72600</v>
      </c>
      <c r="L423" s="7">
        <v>47190</v>
      </c>
      <c r="M423" s="7">
        <v>25410</v>
      </c>
      <c r="N423" s="8">
        <v>0.35</v>
      </c>
    </row>
    <row r="424" spans="1:14" x14ac:dyDescent="0.25">
      <c r="A424" s="2" t="s">
        <v>477</v>
      </c>
      <c r="B424" s="3">
        <v>45598</v>
      </c>
      <c r="C424" s="2" t="s">
        <v>474</v>
      </c>
      <c r="D424" s="2" t="s">
        <v>429</v>
      </c>
      <c r="E424" s="2" t="s">
        <v>54</v>
      </c>
      <c r="F424" s="2" t="s">
        <v>28</v>
      </c>
      <c r="G424" s="2" t="s">
        <v>24</v>
      </c>
      <c r="H424" s="2" t="s">
        <v>25</v>
      </c>
      <c r="I424" s="2">
        <v>2</v>
      </c>
      <c r="J424" s="4">
        <v>15300</v>
      </c>
      <c r="K424" s="4">
        <v>30600</v>
      </c>
      <c r="L424" s="4">
        <v>17748</v>
      </c>
      <c r="M424" s="4">
        <v>12852</v>
      </c>
      <c r="N424" s="5">
        <v>0.42</v>
      </c>
    </row>
    <row r="425" spans="1:14" x14ac:dyDescent="0.25">
      <c r="A425" t="s">
        <v>478</v>
      </c>
      <c r="B425" s="6">
        <v>45598</v>
      </c>
      <c r="C425" t="s">
        <v>474</v>
      </c>
      <c r="D425" t="s">
        <v>429</v>
      </c>
      <c r="E425" t="s">
        <v>22</v>
      </c>
      <c r="F425" t="s">
        <v>28</v>
      </c>
      <c r="G425" t="s">
        <v>63</v>
      </c>
      <c r="H425" t="s">
        <v>46</v>
      </c>
      <c r="I425">
        <v>5</v>
      </c>
      <c r="J425" s="7">
        <v>8900</v>
      </c>
      <c r="K425" s="7">
        <v>44500</v>
      </c>
      <c r="L425" s="7">
        <v>27590</v>
      </c>
      <c r="M425" s="7">
        <v>16910</v>
      </c>
      <c r="N425" s="8">
        <v>0.38</v>
      </c>
    </row>
    <row r="426" spans="1:14" x14ac:dyDescent="0.25">
      <c r="A426" s="2" t="s">
        <v>479</v>
      </c>
      <c r="B426" s="3">
        <v>45598</v>
      </c>
      <c r="C426" s="2" t="s">
        <v>474</v>
      </c>
      <c r="D426" s="2" t="s">
        <v>429</v>
      </c>
      <c r="E426" s="2" t="s">
        <v>37</v>
      </c>
      <c r="F426" s="2" t="s">
        <v>23</v>
      </c>
      <c r="G426" s="2" t="s">
        <v>24</v>
      </c>
      <c r="H426" s="2" t="s">
        <v>25</v>
      </c>
      <c r="I426" s="2">
        <v>3</v>
      </c>
      <c r="J426" s="4">
        <v>14400</v>
      </c>
      <c r="K426" s="4">
        <v>43200</v>
      </c>
      <c r="L426" s="4">
        <v>25056</v>
      </c>
      <c r="M426" s="4">
        <v>18144</v>
      </c>
      <c r="N426" s="5">
        <v>0.42</v>
      </c>
    </row>
    <row r="427" spans="1:14" x14ac:dyDescent="0.25">
      <c r="A427" t="s">
        <v>480</v>
      </c>
      <c r="B427" s="6">
        <v>45598</v>
      </c>
      <c r="C427" t="s">
        <v>474</v>
      </c>
      <c r="D427" t="s">
        <v>429</v>
      </c>
      <c r="E427" t="s">
        <v>17</v>
      </c>
      <c r="F427" t="s">
        <v>33</v>
      </c>
      <c r="G427" t="s">
        <v>45</v>
      </c>
      <c r="H427" t="s">
        <v>46</v>
      </c>
      <c r="I427">
        <v>9</v>
      </c>
      <c r="J427" s="7">
        <v>9400</v>
      </c>
      <c r="K427" s="7">
        <v>84600</v>
      </c>
      <c r="L427" s="7">
        <v>50760</v>
      </c>
      <c r="M427" s="7">
        <v>33840</v>
      </c>
      <c r="N427" s="8">
        <v>0.4</v>
      </c>
    </row>
    <row r="428" spans="1:14" x14ac:dyDescent="0.25">
      <c r="A428" s="2" t="s">
        <v>481</v>
      </c>
      <c r="B428" s="3">
        <v>45600</v>
      </c>
      <c r="C428" s="2" t="s">
        <v>474</v>
      </c>
      <c r="D428" s="2" t="s">
        <v>429</v>
      </c>
      <c r="E428" s="2" t="s">
        <v>22</v>
      </c>
      <c r="F428" s="2" t="s">
        <v>42</v>
      </c>
      <c r="G428" s="2" t="s">
        <v>50</v>
      </c>
      <c r="H428" s="2" t="s">
        <v>46</v>
      </c>
      <c r="I428" s="2">
        <v>9</v>
      </c>
      <c r="J428" s="4">
        <v>26000</v>
      </c>
      <c r="K428" s="4">
        <v>234000</v>
      </c>
      <c r="L428" s="4">
        <v>152100</v>
      </c>
      <c r="M428" s="4">
        <v>81900</v>
      </c>
      <c r="N428" s="5">
        <v>0.35</v>
      </c>
    </row>
    <row r="429" spans="1:14" x14ac:dyDescent="0.25">
      <c r="A429" t="s">
        <v>482</v>
      </c>
      <c r="B429" s="6">
        <v>45600</v>
      </c>
      <c r="C429" t="s">
        <v>474</v>
      </c>
      <c r="D429" t="s">
        <v>429</v>
      </c>
      <c r="E429" t="s">
        <v>54</v>
      </c>
      <c r="F429" t="s">
        <v>59</v>
      </c>
      <c r="G429" t="s">
        <v>34</v>
      </c>
      <c r="H429" t="s">
        <v>35</v>
      </c>
      <c r="I429">
        <v>8</v>
      </c>
      <c r="J429" s="7">
        <v>3300</v>
      </c>
      <c r="K429" s="7">
        <v>26400</v>
      </c>
      <c r="L429" s="7">
        <v>12672</v>
      </c>
      <c r="M429" s="7">
        <v>13728</v>
      </c>
      <c r="N429" s="8">
        <v>0.52</v>
      </c>
    </row>
    <row r="430" spans="1:14" x14ac:dyDescent="0.25">
      <c r="A430" s="2" t="s">
        <v>483</v>
      </c>
      <c r="B430" s="3">
        <v>45601</v>
      </c>
      <c r="C430" s="2" t="s">
        <v>474</v>
      </c>
      <c r="D430" s="2" t="s">
        <v>429</v>
      </c>
      <c r="E430" s="2" t="s">
        <v>37</v>
      </c>
      <c r="F430" s="2" t="s">
        <v>23</v>
      </c>
      <c r="G430" s="2" t="s">
        <v>19</v>
      </c>
      <c r="H430" s="2" t="s">
        <v>20</v>
      </c>
      <c r="I430" s="2">
        <v>4</v>
      </c>
      <c r="J430" s="4">
        <v>4500</v>
      </c>
      <c r="K430" s="4">
        <v>18000</v>
      </c>
      <c r="L430" s="4">
        <v>9900</v>
      </c>
      <c r="M430" s="4">
        <v>8100</v>
      </c>
      <c r="N430" s="5">
        <v>0.45</v>
      </c>
    </row>
    <row r="431" spans="1:14" x14ac:dyDescent="0.25">
      <c r="A431" t="s">
        <v>484</v>
      </c>
      <c r="B431" s="6">
        <v>45601</v>
      </c>
      <c r="C431" t="s">
        <v>474</v>
      </c>
      <c r="D431" t="s">
        <v>429</v>
      </c>
      <c r="E431" t="s">
        <v>37</v>
      </c>
      <c r="F431" t="s">
        <v>59</v>
      </c>
      <c r="G431" t="s">
        <v>63</v>
      </c>
      <c r="H431" t="s">
        <v>46</v>
      </c>
      <c r="I431">
        <v>1</v>
      </c>
      <c r="J431" s="7">
        <v>8900</v>
      </c>
      <c r="K431" s="7">
        <v>8900</v>
      </c>
      <c r="L431" s="7">
        <v>5518</v>
      </c>
      <c r="M431" s="7">
        <v>3382</v>
      </c>
      <c r="N431" s="8">
        <v>0.38</v>
      </c>
    </row>
    <row r="432" spans="1:14" x14ac:dyDescent="0.25">
      <c r="A432" s="2" t="s">
        <v>485</v>
      </c>
      <c r="B432" s="3">
        <v>45602</v>
      </c>
      <c r="C432" s="2" t="s">
        <v>474</v>
      </c>
      <c r="D432" s="2" t="s">
        <v>429</v>
      </c>
      <c r="E432" s="2" t="s">
        <v>37</v>
      </c>
      <c r="F432" s="2" t="s">
        <v>33</v>
      </c>
      <c r="G432" s="2" t="s">
        <v>34</v>
      </c>
      <c r="H432" s="2" t="s">
        <v>35</v>
      </c>
      <c r="I432" s="2">
        <v>9</v>
      </c>
      <c r="J432" s="4">
        <v>4000</v>
      </c>
      <c r="K432" s="4">
        <v>36000</v>
      </c>
      <c r="L432" s="4">
        <v>17280</v>
      </c>
      <c r="M432" s="4">
        <v>18720</v>
      </c>
      <c r="N432" s="5">
        <v>0.52</v>
      </c>
    </row>
    <row r="433" spans="1:14" x14ac:dyDescent="0.25">
      <c r="A433" t="s">
        <v>486</v>
      </c>
      <c r="B433" s="6">
        <v>45602</v>
      </c>
      <c r="C433" t="s">
        <v>474</v>
      </c>
      <c r="D433" t="s">
        <v>429</v>
      </c>
      <c r="E433" t="s">
        <v>22</v>
      </c>
      <c r="F433" t="s">
        <v>23</v>
      </c>
      <c r="G433" t="s">
        <v>24</v>
      </c>
      <c r="H433" t="s">
        <v>25</v>
      </c>
      <c r="I433">
        <v>9</v>
      </c>
      <c r="J433" s="7">
        <v>15100</v>
      </c>
      <c r="K433" s="7">
        <v>135900</v>
      </c>
      <c r="L433" s="7">
        <v>78822</v>
      </c>
      <c r="M433" s="7">
        <v>57078</v>
      </c>
      <c r="N433" s="8">
        <v>0.42</v>
      </c>
    </row>
    <row r="434" spans="1:14" x14ac:dyDescent="0.25">
      <c r="A434" s="2" t="s">
        <v>487</v>
      </c>
      <c r="B434" s="3">
        <v>45605</v>
      </c>
      <c r="C434" s="2" t="s">
        <v>474</v>
      </c>
      <c r="D434" s="2" t="s">
        <v>429</v>
      </c>
      <c r="E434" s="2" t="s">
        <v>37</v>
      </c>
      <c r="F434" s="2" t="s">
        <v>28</v>
      </c>
      <c r="G434" s="2" t="s">
        <v>24</v>
      </c>
      <c r="H434" s="2" t="s">
        <v>25</v>
      </c>
      <c r="I434" s="2">
        <v>10</v>
      </c>
      <c r="J434" s="4">
        <v>14100</v>
      </c>
      <c r="K434" s="4">
        <v>141000</v>
      </c>
      <c r="L434" s="4">
        <v>81780</v>
      </c>
      <c r="M434" s="4">
        <v>59220</v>
      </c>
      <c r="N434" s="5">
        <v>0.42</v>
      </c>
    </row>
    <row r="435" spans="1:14" x14ac:dyDescent="0.25">
      <c r="A435" t="s">
        <v>488</v>
      </c>
      <c r="B435" s="6">
        <v>45606</v>
      </c>
      <c r="C435" t="s">
        <v>474</v>
      </c>
      <c r="D435" t="s">
        <v>429</v>
      </c>
      <c r="E435" t="s">
        <v>27</v>
      </c>
      <c r="F435" t="s">
        <v>33</v>
      </c>
      <c r="G435" t="s">
        <v>24</v>
      </c>
      <c r="H435" t="s">
        <v>25</v>
      </c>
      <c r="I435">
        <v>7</v>
      </c>
      <c r="J435" s="7">
        <v>14400</v>
      </c>
      <c r="K435" s="7">
        <v>100800</v>
      </c>
      <c r="L435" s="7">
        <v>58464</v>
      </c>
      <c r="M435" s="7">
        <v>42336</v>
      </c>
      <c r="N435" s="8">
        <v>0.42</v>
      </c>
    </row>
    <row r="436" spans="1:14" x14ac:dyDescent="0.25">
      <c r="A436" s="2" t="s">
        <v>489</v>
      </c>
      <c r="B436" s="3">
        <v>45608</v>
      </c>
      <c r="C436" s="2" t="s">
        <v>474</v>
      </c>
      <c r="D436" s="2" t="s">
        <v>429</v>
      </c>
      <c r="E436" s="2" t="s">
        <v>22</v>
      </c>
      <c r="F436" s="2" t="s">
        <v>59</v>
      </c>
      <c r="G436" s="2" t="s">
        <v>29</v>
      </c>
      <c r="H436" s="2" t="s">
        <v>30</v>
      </c>
      <c r="I436" s="2">
        <v>7</v>
      </c>
      <c r="J436" s="4">
        <v>2700</v>
      </c>
      <c r="K436" s="4">
        <v>18900</v>
      </c>
      <c r="L436" s="4">
        <v>8505</v>
      </c>
      <c r="M436" s="4">
        <v>10395</v>
      </c>
      <c r="N436" s="5">
        <v>0.55000000000000004</v>
      </c>
    </row>
    <row r="437" spans="1:14" x14ac:dyDescent="0.25">
      <c r="A437" t="s">
        <v>490</v>
      </c>
      <c r="B437" s="6">
        <v>45608</v>
      </c>
      <c r="C437" t="s">
        <v>474</v>
      </c>
      <c r="D437" t="s">
        <v>429</v>
      </c>
      <c r="E437" t="s">
        <v>27</v>
      </c>
      <c r="F437" t="s">
        <v>33</v>
      </c>
      <c r="G437" t="s">
        <v>38</v>
      </c>
      <c r="H437" t="s">
        <v>39</v>
      </c>
      <c r="I437">
        <v>5</v>
      </c>
      <c r="J437" s="7">
        <v>11500</v>
      </c>
      <c r="K437" s="7">
        <v>57500</v>
      </c>
      <c r="L437" s="7">
        <v>34500</v>
      </c>
      <c r="M437" s="7">
        <v>23000</v>
      </c>
      <c r="N437" s="8">
        <v>0.4</v>
      </c>
    </row>
    <row r="438" spans="1:14" x14ac:dyDescent="0.25">
      <c r="A438" s="2" t="s">
        <v>491</v>
      </c>
      <c r="B438" s="3">
        <v>45608</v>
      </c>
      <c r="C438" s="2" t="s">
        <v>474</v>
      </c>
      <c r="D438" s="2" t="s">
        <v>429</v>
      </c>
      <c r="E438" s="2" t="s">
        <v>32</v>
      </c>
      <c r="F438" s="2" t="s">
        <v>23</v>
      </c>
      <c r="G438" s="2" t="s">
        <v>45</v>
      </c>
      <c r="H438" s="2" t="s">
        <v>46</v>
      </c>
      <c r="I438" s="2">
        <v>1</v>
      </c>
      <c r="J438" s="4">
        <v>9600</v>
      </c>
      <c r="K438" s="4">
        <v>9600</v>
      </c>
      <c r="L438" s="4">
        <v>5760</v>
      </c>
      <c r="M438" s="4">
        <v>3840</v>
      </c>
      <c r="N438" s="5">
        <v>0.4</v>
      </c>
    </row>
    <row r="439" spans="1:14" x14ac:dyDescent="0.25">
      <c r="A439" t="s">
        <v>492</v>
      </c>
      <c r="B439" s="6">
        <v>45609</v>
      </c>
      <c r="C439" t="s">
        <v>474</v>
      </c>
      <c r="D439" t="s">
        <v>429</v>
      </c>
      <c r="E439" t="s">
        <v>27</v>
      </c>
      <c r="F439" t="s">
        <v>42</v>
      </c>
      <c r="G439" t="s">
        <v>29</v>
      </c>
      <c r="H439" t="s">
        <v>30</v>
      </c>
      <c r="I439">
        <v>10</v>
      </c>
      <c r="J439" s="7">
        <v>2600</v>
      </c>
      <c r="K439" s="7">
        <v>26000</v>
      </c>
      <c r="L439" s="7">
        <v>11700</v>
      </c>
      <c r="M439" s="7">
        <v>14300</v>
      </c>
      <c r="N439" s="8">
        <v>0.55000000000000004</v>
      </c>
    </row>
    <row r="440" spans="1:14" x14ac:dyDescent="0.25">
      <c r="A440" s="2" t="s">
        <v>493</v>
      </c>
      <c r="B440" s="3">
        <v>45610</v>
      </c>
      <c r="C440" s="2" t="s">
        <v>474</v>
      </c>
      <c r="D440" s="2" t="s">
        <v>429</v>
      </c>
      <c r="E440" s="2" t="s">
        <v>17</v>
      </c>
      <c r="F440" s="2" t="s">
        <v>28</v>
      </c>
      <c r="G440" s="2" t="s">
        <v>38</v>
      </c>
      <c r="H440" s="2" t="s">
        <v>39</v>
      </c>
      <c r="I440" s="2">
        <v>4</v>
      </c>
      <c r="J440" s="4">
        <v>11000</v>
      </c>
      <c r="K440" s="4">
        <v>44000</v>
      </c>
      <c r="L440" s="4">
        <v>26400</v>
      </c>
      <c r="M440" s="4">
        <v>17600</v>
      </c>
      <c r="N440" s="5">
        <v>0.4</v>
      </c>
    </row>
    <row r="441" spans="1:14" x14ac:dyDescent="0.25">
      <c r="A441" t="s">
        <v>494</v>
      </c>
      <c r="B441" s="6">
        <v>45611</v>
      </c>
      <c r="C441" t="s">
        <v>474</v>
      </c>
      <c r="D441" t="s">
        <v>429</v>
      </c>
      <c r="E441" t="s">
        <v>37</v>
      </c>
      <c r="F441" t="s">
        <v>28</v>
      </c>
      <c r="G441" t="s">
        <v>24</v>
      </c>
      <c r="H441" t="s">
        <v>25</v>
      </c>
      <c r="I441">
        <v>2</v>
      </c>
      <c r="J441" s="7">
        <v>16000</v>
      </c>
      <c r="K441" s="7">
        <v>32000</v>
      </c>
      <c r="L441" s="7">
        <v>18560</v>
      </c>
      <c r="M441" s="7">
        <v>13440</v>
      </c>
      <c r="N441" s="8">
        <v>0.42</v>
      </c>
    </row>
    <row r="442" spans="1:14" x14ac:dyDescent="0.25">
      <c r="A442" s="2" t="s">
        <v>495</v>
      </c>
      <c r="B442" s="3">
        <v>45612</v>
      </c>
      <c r="C442" s="2" t="s">
        <v>474</v>
      </c>
      <c r="D442" s="2" t="s">
        <v>429</v>
      </c>
      <c r="E442" s="2" t="s">
        <v>17</v>
      </c>
      <c r="F442" s="2" t="s">
        <v>42</v>
      </c>
      <c r="G442" s="2" t="s">
        <v>19</v>
      </c>
      <c r="H442" s="2" t="s">
        <v>20</v>
      </c>
      <c r="I442" s="2">
        <v>9</v>
      </c>
      <c r="J442" s="4">
        <v>5600</v>
      </c>
      <c r="K442" s="4">
        <v>50400</v>
      </c>
      <c r="L442" s="4">
        <v>27720</v>
      </c>
      <c r="M442" s="4">
        <v>22680</v>
      </c>
      <c r="N442" s="5">
        <v>0.45</v>
      </c>
    </row>
    <row r="443" spans="1:14" x14ac:dyDescent="0.25">
      <c r="A443" t="s">
        <v>496</v>
      </c>
      <c r="B443" s="6">
        <v>45612</v>
      </c>
      <c r="C443" t="s">
        <v>474</v>
      </c>
      <c r="D443" t="s">
        <v>429</v>
      </c>
      <c r="E443" t="s">
        <v>17</v>
      </c>
      <c r="F443" t="s">
        <v>33</v>
      </c>
      <c r="G443" t="s">
        <v>19</v>
      </c>
      <c r="H443" t="s">
        <v>20</v>
      </c>
      <c r="I443">
        <v>2</v>
      </c>
      <c r="J443" s="7">
        <v>5300</v>
      </c>
      <c r="K443" s="7">
        <v>10600</v>
      </c>
      <c r="L443" s="7">
        <v>5830</v>
      </c>
      <c r="M443" s="7">
        <v>4770</v>
      </c>
      <c r="N443" s="8">
        <v>0.45</v>
      </c>
    </row>
    <row r="444" spans="1:14" x14ac:dyDescent="0.25">
      <c r="A444" s="2" t="s">
        <v>497</v>
      </c>
      <c r="B444" s="3">
        <v>45613</v>
      </c>
      <c r="C444" s="2" t="s">
        <v>474</v>
      </c>
      <c r="D444" s="2" t="s">
        <v>429</v>
      </c>
      <c r="E444" s="2" t="s">
        <v>17</v>
      </c>
      <c r="F444" s="2" t="s">
        <v>18</v>
      </c>
      <c r="G444" s="2" t="s">
        <v>63</v>
      </c>
      <c r="H444" s="2" t="s">
        <v>46</v>
      </c>
      <c r="I444" s="2">
        <v>7</v>
      </c>
      <c r="J444" s="4">
        <v>8800</v>
      </c>
      <c r="K444" s="4">
        <v>61600</v>
      </c>
      <c r="L444" s="4">
        <v>38192</v>
      </c>
      <c r="M444" s="4">
        <v>23408</v>
      </c>
      <c r="N444" s="5">
        <v>0.38</v>
      </c>
    </row>
    <row r="445" spans="1:14" x14ac:dyDescent="0.25">
      <c r="A445" t="s">
        <v>498</v>
      </c>
      <c r="B445" s="6">
        <v>45613</v>
      </c>
      <c r="C445" t="s">
        <v>474</v>
      </c>
      <c r="D445" t="s">
        <v>429</v>
      </c>
      <c r="E445" t="s">
        <v>32</v>
      </c>
      <c r="F445" t="s">
        <v>23</v>
      </c>
      <c r="G445" t="s">
        <v>50</v>
      </c>
      <c r="H445" t="s">
        <v>46</v>
      </c>
      <c r="I445">
        <v>8</v>
      </c>
      <c r="J445" s="7">
        <v>24400</v>
      </c>
      <c r="K445" s="7">
        <v>195200</v>
      </c>
      <c r="L445" s="7">
        <v>126880</v>
      </c>
      <c r="M445" s="7">
        <v>68320</v>
      </c>
      <c r="N445" s="8">
        <v>0.35</v>
      </c>
    </row>
    <row r="446" spans="1:14" x14ac:dyDescent="0.25">
      <c r="A446" s="2" t="s">
        <v>499</v>
      </c>
      <c r="B446" s="3">
        <v>45615</v>
      </c>
      <c r="C446" s="2" t="s">
        <v>474</v>
      </c>
      <c r="D446" s="2" t="s">
        <v>429</v>
      </c>
      <c r="E446" s="2" t="s">
        <v>54</v>
      </c>
      <c r="F446" s="2" t="s">
        <v>18</v>
      </c>
      <c r="G446" s="2" t="s">
        <v>50</v>
      </c>
      <c r="H446" s="2" t="s">
        <v>46</v>
      </c>
      <c r="I446" s="2">
        <v>1</v>
      </c>
      <c r="J446" s="4">
        <v>23900</v>
      </c>
      <c r="K446" s="4">
        <v>23900</v>
      </c>
      <c r="L446" s="4">
        <v>15535</v>
      </c>
      <c r="M446" s="4">
        <v>8365</v>
      </c>
      <c r="N446" s="5">
        <v>0.35</v>
      </c>
    </row>
    <row r="447" spans="1:14" x14ac:dyDescent="0.25">
      <c r="A447" t="s">
        <v>500</v>
      </c>
      <c r="B447" s="6">
        <v>45616</v>
      </c>
      <c r="C447" t="s">
        <v>474</v>
      </c>
      <c r="D447" t="s">
        <v>429</v>
      </c>
      <c r="E447" t="s">
        <v>32</v>
      </c>
      <c r="F447" t="s">
        <v>28</v>
      </c>
      <c r="G447" t="s">
        <v>34</v>
      </c>
      <c r="H447" t="s">
        <v>35</v>
      </c>
      <c r="I447">
        <v>1</v>
      </c>
      <c r="J447" s="7">
        <v>3900</v>
      </c>
      <c r="K447" s="7">
        <v>3900</v>
      </c>
      <c r="L447" s="7">
        <v>1872</v>
      </c>
      <c r="M447" s="7">
        <v>2028</v>
      </c>
      <c r="N447" s="8">
        <v>0.52</v>
      </c>
    </row>
    <row r="448" spans="1:14" x14ac:dyDescent="0.25">
      <c r="A448" s="2" t="s">
        <v>501</v>
      </c>
      <c r="B448" s="3">
        <v>45616</v>
      </c>
      <c r="C448" s="2" t="s">
        <v>474</v>
      </c>
      <c r="D448" s="2" t="s">
        <v>429</v>
      </c>
      <c r="E448" s="2" t="s">
        <v>54</v>
      </c>
      <c r="F448" s="2" t="s">
        <v>59</v>
      </c>
      <c r="G448" s="2" t="s">
        <v>45</v>
      </c>
      <c r="H448" s="2" t="s">
        <v>46</v>
      </c>
      <c r="I448" s="2">
        <v>4</v>
      </c>
      <c r="J448" s="4">
        <v>10300</v>
      </c>
      <c r="K448" s="4">
        <v>41200</v>
      </c>
      <c r="L448" s="4">
        <v>24720</v>
      </c>
      <c r="M448" s="4">
        <v>16480</v>
      </c>
      <c r="N448" s="5">
        <v>0.4</v>
      </c>
    </row>
    <row r="449" spans="1:14" x14ac:dyDescent="0.25">
      <c r="A449" t="s">
        <v>502</v>
      </c>
      <c r="B449" s="6">
        <v>45619</v>
      </c>
      <c r="C449" t="s">
        <v>474</v>
      </c>
      <c r="D449" t="s">
        <v>429</v>
      </c>
      <c r="E449" t="s">
        <v>27</v>
      </c>
      <c r="F449" t="s">
        <v>42</v>
      </c>
      <c r="G449" t="s">
        <v>38</v>
      </c>
      <c r="H449" t="s">
        <v>39</v>
      </c>
      <c r="I449">
        <v>5</v>
      </c>
      <c r="J449" s="7">
        <v>10900</v>
      </c>
      <c r="K449" s="7">
        <v>54500</v>
      </c>
      <c r="L449" s="7">
        <v>32700</v>
      </c>
      <c r="M449" s="7">
        <v>21800</v>
      </c>
      <c r="N449" s="8">
        <v>0.4</v>
      </c>
    </row>
    <row r="450" spans="1:14" x14ac:dyDescent="0.25">
      <c r="A450" s="2" t="s">
        <v>503</v>
      </c>
      <c r="B450" s="3">
        <v>45619</v>
      </c>
      <c r="C450" s="2" t="s">
        <v>474</v>
      </c>
      <c r="D450" s="2" t="s">
        <v>429</v>
      </c>
      <c r="E450" s="2" t="s">
        <v>54</v>
      </c>
      <c r="F450" s="2" t="s">
        <v>42</v>
      </c>
      <c r="G450" s="2" t="s">
        <v>34</v>
      </c>
      <c r="H450" s="2" t="s">
        <v>35</v>
      </c>
      <c r="I450" s="2">
        <v>8</v>
      </c>
      <c r="J450" s="4">
        <v>3800</v>
      </c>
      <c r="K450" s="4">
        <v>30400</v>
      </c>
      <c r="L450" s="4">
        <v>14592</v>
      </c>
      <c r="M450" s="4">
        <v>15808</v>
      </c>
      <c r="N450" s="5">
        <v>0.52</v>
      </c>
    </row>
    <row r="451" spans="1:14" x14ac:dyDescent="0.25">
      <c r="A451" t="s">
        <v>504</v>
      </c>
      <c r="B451" s="6">
        <v>45619</v>
      </c>
      <c r="C451" t="s">
        <v>474</v>
      </c>
      <c r="D451" t="s">
        <v>429</v>
      </c>
      <c r="E451" t="s">
        <v>22</v>
      </c>
      <c r="F451" t="s">
        <v>23</v>
      </c>
      <c r="G451" t="s">
        <v>63</v>
      </c>
      <c r="H451" t="s">
        <v>46</v>
      </c>
      <c r="I451">
        <v>3</v>
      </c>
      <c r="J451" s="7">
        <v>8700</v>
      </c>
      <c r="K451" s="7">
        <v>26100</v>
      </c>
      <c r="L451" s="7">
        <v>16182</v>
      </c>
      <c r="M451" s="7">
        <v>9918</v>
      </c>
      <c r="N451" s="8">
        <v>0.38</v>
      </c>
    </row>
    <row r="452" spans="1:14" x14ac:dyDescent="0.25">
      <c r="A452" s="2" t="s">
        <v>505</v>
      </c>
      <c r="B452" s="3">
        <v>45619</v>
      </c>
      <c r="C452" s="2" t="s">
        <v>474</v>
      </c>
      <c r="D452" s="2" t="s">
        <v>429</v>
      </c>
      <c r="E452" s="2" t="s">
        <v>54</v>
      </c>
      <c r="F452" s="2" t="s">
        <v>33</v>
      </c>
      <c r="G452" s="2" t="s">
        <v>50</v>
      </c>
      <c r="H452" s="2" t="s">
        <v>46</v>
      </c>
      <c r="I452" s="2">
        <v>9</v>
      </c>
      <c r="J452" s="4">
        <v>25600</v>
      </c>
      <c r="K452" s="4">
        <v>230400</v>
      </c>
      <c r="L452" s="4">
        <v>149760</v>
      </c>
      <c r="M452" s="4">
        <v>80640</v>
      </c>
      <c r="N452" s="5">
        <v>0.35</v>
      </c>
    </row>
    <row r="453" spans="1:14" x14ac:dyDescent="0.25">
      <c r="A453" t="s">
        <v>506</v>
      </c>
      <c r="B453" s="6">
        <v>45620</v>
      </c>
      <c r="C453" t="s">
        <v>474</v>
      </c>
      <c r="D453" t="s">
        <v>429</v>
      </c>
      <c r="E453" t="s">
        <v>22</v>
      </c>
      <c r="F453" t="s">
        <v>23</v>
      </c>
      <c r="G453" t="s">
        <v>19</v>
      </c>
      <c r="H453" t="s">
        <v>20</v>
      </c>
      <c r="I453">
        <v>10</v>
      </c>
      <c r="J453" s="7">
        <v>5300</v>
      </c>
      <c r="K453" s="7">
        <v>53000</v>
      </c>
      <c r="L453" s="7">
        <v>29150</v>
      </c>
      <c r="M453" s="7">
        <v>23850</v>
      </c>
      <c r="N453" s="8">
        <v>0.45</v>
      </c>
    </row>
    <row r="454" spans="1:14" x14ac:dyDescent="0.25">
      <c r="A454" s="2" t="s">
        <v>507</v>
      </c>
      <c r="B454" s="3">
        <v>45620</v>
      </c>
      <c r="C454" s="2" t="s">
        <v>474</v>
      </c>
      <c r="D454" s="2" t="s">
        <v>429</v>
      </c>
      <c r="E454" s="2" t="s">
        <v>27</v>
      </c>
      <c r="F454" s="2" t="s">
        <v>42</v>
      </c>
      <c r="G454" s="2" t="s">
        <v>45</v>
      </c>
      <c r="H454" s="2" t="s">
        <v>46</v>
      </c>
      <c r="I454" s="2">
        <v>6</v>
      </c>
      <c r="J454" s="4">
        <v>9100</v>
      </c>
      <c r="K454" s="4">
        <v>54600</v>
      </c>
      <c r="L454" s="4">
        <v>32760</v>
      </c>
      <c r="M454" s="4">
        <v>21840</v>
      </c>
      <c r="N454" s="5">
        <v>0.4</v>
      </c>
    </row>
    <row r="455" spans="1:14" x14ac:dyDescent="0.25">
      <c r="A455" t="s">
        <v>508</v>
      </c>
      <c r="B455" s="6">
        <v>45622</v>
      </c>
      <c r="C455" t="s">
        <v>474</v>
      </c>
      <c r="D455" t="s">
        <v>429</v>
      </c>
      <c r="E455" t="s">
        <v>32</v>
      </c>
      <c r="F455" t="s">
        <v>28</v>
      </c>
      <c r="G455" t="s">
        <v>45</v>
      </c>
      <c r="H455" t="s">
        <v>46</v>
      </c>
      <c r="I455">
        <v>1</v>
      </c>
      <c r="J455" s="7">
        <v>9100</v>
      </c>
      <c r="K455" s="7">
        <v>9100</v>
      </c>
      <c r="L455" s="7">
        <v>5460</v>
      </c>
      <c r="M455" s="7">
        <v>3640</v>
      </c>
      <c r="N455" s="8">
        <v>0.4</v>
      </c>
    </row>
    <row r="456" spans="1:14" x14ac:dyDescent="0.25">
      <c r="A456" s="2" t="s">
        <v>509</v>
      </c>
      <c r="B456" s="3">
        <v>45622</v>
      </c>
      <c r="C456" s="2" t="s">
        <v>474</v>
      </c>
      <c r="D456" s="2" t="s">
        <v>429</v>
      </c>
      <c r="E456" s="2" t="s">
        <v>54</v>
      </c>
      <c r="F456" s="2" t="s">
        <v>42</v>
      </c>
      <c r="G456" s="2" t="s">
        <v>63</v>
      </c>
      <c r="H456" s="2" t="s">
        <v>46</v>
      </c>
      <c r="I456" s="2">
        <v>3</v>
      </c>
      <c r="J456" s="4">
        <v>7700</v>
      </c>
      <c r="K456" s="4">
        <v>23100</v>
      </c>
      <c r="L456" s="4">
        <v>14322</v>
      </c>
      <c r="M456" s="4">
        <v>8778</v>
      </c>
      <c r="N456" s="5">
        <v>0.38</v>
      </c>
    </row>
    <row r="457" spans="1:14" x14ac:dyDescent="0.25">
      <c r="A457" t="s">
        <v>510</v>
      </c>
      <c r="B457" s="6">
        <v>45622</v>
      </c>
      <c r="C457" t="s">
        <v>474</v>
      </c>
      <c r="D457" t="s">
        <v>429</v>
      </c>
      <c r="E457" t="s">
        <v>22</v>
      </c>
      <c r="F457" t="s">
        <v>59</v>
      </c>
      <c r="G457" t="s">
        <v>34</v>
      </c>
      <c r="H457" t="s">
        <v>35</v>
      </c>
      <c r="I457">
        <v>7</v>
      </c>
      <c r="J457" s="7">
        <v>3500</v>
      </c>
      <c r="K457" s="7">
        <v>24500</v>
      </c>
      <c r="L457" s="7">
        <v>11760</v>
      </c>
      <c r="M457" s="7">
        <v>12740</v>
      </c>
      <c r="N457" s="8">
        <v>0.52</v>
      </c>
    </row>
    <row r="458" spans="1:14" x14ac:dyDescent="0.25">
      <c r="A458" s="2" t="s">
        <v>511</v>
      </c>
      <c r="B458" s="3">
        <v>45624</v>
      </c>
      <c r="C458" s="2" t="s">
        <v>474</v>
      </c>
      <c r="D458" s="2" t="s">
        <v>429</v>
      </c>
      <c r="E458" s="2" t="s">
        <v>32</v>
      </c>
      <c r="F458" s="2" t="s">
        <v>28</v>
      </c>
      <c r="G458" s="2" t="s">
        <v>34</v>
      </c>
      <c r="H458" s="2" t="s">
        <v>35</v>
      </c>
      <c r="I458" s="2">
        <v>1</v>
      </c>
      <c r="J458" s="4">
        <v>3300</v>
      </c>
      <c r="K458" s="4">
        <v>3300</v>
      </c>
      <c r="L458" s="4">
        <v>1584</v>
      </c>
      <c r="M458" s="4">
        <v>1716</v>
      </c>
      <c r="N458" s="5">
        <v>0.52</v>
      </c>
    </row>
    <row r="459" spans="1:14" x14ac:dyDescent="0.25">
      <c r="A459" t="s">
        <v>512</v>
      </c>
      <c r="B459" s="6">
        <v>45626</v>
      </c>
      <c r="C459" t="s">
        <v>474</v>
      </c>
      <c r="D459" t="s">
        <v>429</v>
      </c>
      <c r="E459" t="s">
        <v>54</v>
      </c>
      <c r="F459" t="s">
        <v>28</v>
      </c>
      <c r="G459" t="s">
        <v>45</v>
      </c>
      <c r="H459" t="s">
        <v>46</v>
      </c>
      <c r="I459">
        <v>4</v>
      </c>
      <c r="J459" s="7">
        <v>9200</v>
      </c>
      <c r="K459" s="7">
        <v>36800</v>
      </c>
      <c r="L459" s="7">
        <v>22080</v>
      </c>
      <c r="M459" s="7">
        <v>14720</v>
      </c>
      <c r="N459" s="8">
        <v>0.4</v>
      </c>
    </row>
    <row r="460" spans="1:14" x14ac:dyDescent="0.25">
      <c r="A460" s="2" t="s">
        <v>513</v>
      </c>
      <c r="B460" s="3">
        <v>45628</v>
      </c>
      <c r="C460" s="2" t="s">
        <v>514</v>
      </c>
      <c r="D460" s="2" t="s">
        <v>429</v>
      </c>
      <c r="E460" s="2" t="s">
        <v>32</v>
      </c>
      <c r="F460" s="2" t="s">
        <v>42</v>
      </c>
      <c r="G460" s="2" t="s">
        <v>50</v>
      </c>
      <c r="H460" s="2" t="s">
        <v>46</v>
      </c>
      <c r="I460" s="2">
        <v>6</v>
      </c>
      <c r="J460" s="4">
        <v>23600</v>
      </c>
      <c r="K460" s="4">
        <v>141600</v>
      </c>
      <c r="L460" s="4">
        <v>92040</v>
      </c>
      <c r="M460" s="4">
        <v>49560</v>
      </c>
      <c r="N460" s="5">
        <v>0.35</v>
      </c>
    </row>
    <row r="461" spans="1:14" x14ac:dyDescent="0.25">
      <c r="A461" t="s">
        <v>515</v>
      </c>
      <c r="B461" s="6">
        <v>45628</v>
      </c>
      <c r="C461" t="s">
        <v>514</v>
      </c>
      <c r="D461" t="s">
        <v>429</v>
      </c>
      <c r="E461" t="s">
        <v>27</v>
      </c>
      <c r="F461" t="s">
        <v>59</v>
      </c>
      <c r="G461" t="s">
        <v>34</v>
      </c>
      <c r="H461" t="s">
        <v>35</v>
      </c>
      <c r="I461">
        <v>10</v>
      </c>
      <c r="J461" s="7">
        <v>3500</v>
      </c>
      <c r="K461" s="7">
        <v>35000</v>
      </c>
      <c r="L461" s="7">
        <v>16800</v>
      </c>
      <c r="M461" s="7">
        <v>18200</v>
      </c>
      <c r="N461" s="8">
        <v>0.52</v>
      </c>
    </row>
    <row r="462" spans="1:14" x14ac:dyDescent="0.25">
      <c r="A462" s="2" t="s">
        <v>516</v>
      </c>
      <c r="B462" s="3">
        <v>45629</v>
      </c>
      <c r="C462" s="2" t="s">
        <v>514</v>
      </c>
      <c r="D462" s="2" t="s">
        <v>429</v>
      </c>
      <c r="E462" s="2" t="s">
        <v>54</v>
      </c>
      <c r="F462" s="2" t="s">
        <v>23</v>
      </c>
      <c r="G462" s="2" t="s">
        <v>45</v>
      </c>
      <c r="H462" s="2" t="s">
        <v>46</v>
      </c>
      <c r="I462" s="2">
        <v>3</v>
      </c>
      <c r="J462" s="4">
        <v>10200</v>
      </c>
      <c r="K462" s="4">
        <v>30600</v>
      </c>
      <c r="L462" s="4">
        <v>18360</v>
      </c>
      <c r="M462" s="4">
        <v>12240</v>
      </c>
      <c r="N462" s="5">
        <v>0.4</v>
      </c>
    </row>
    <row r="463" spans="1:14" x14ac:dyDescent="0.25">
      <c r="A463" t="s">
        <v>517</v>
      </c>
      <c r="B463" s="6">
        <v>45629</v>
      </c>
      <c r="C463" t="s">
        <v>514</v>
      </c>
      <c r="D463" t="s">
        <v>429</v>
      </c>
      <c r="E463" t="s">
        <v>32</v>
      </c>
      <c r="F463" t="s">
        <v>59</v>
      </c>
      <c r="G463" t="s">
        <v>19</v>
      </c>
      <c r="H463" t="s">
        <v>20</v>
      </c>
      <c r="I463">
        <v>1</v>
      </c>
      <c r="J463" s="7">
        <v>5100</v>
      </c>
      <c r="K463" s="7">
        <v>5100</v>
      </c>
      <c r="L463" s="7">
        <v>2805</v>
      </c>
      <c r="M463" s="7">
        <v>2295</v>
      </c>
      <c r="N463" s="8">
        <v>0.45</v>
      </c>
    </row>
    <row r="464" spans="1:14" x14ac:dyDescent="0.25">
      <c r="A464" s="2" t="s">
        <v>518</v>
      </c>
      <c r="B464" s="3">
        <v>45629</v>
      </c>
      <c r="C464" s="2" t="s">
        <v>514</v>
      </c>
      <c r="D464" s="2" t="s">
        <v>429</v>
      </c>
      <c r="E464" s="2" t="s">
        <v>32</v>
      </c>
      <c r="F464" s="2" t="s">
        <v>59</v>
      </c>
      <c r="G464" s="2" t="s">
        <v>63</v>
      </c>
      <c r="H464" s="2" t="s">
        <v>46</v>
      </c>
      <c r="I464" s="2">
        <v>7</v>
      </c>
      <c r="J464" s="4">
        <v>8600</v>
      </c>
      <c r="K464" s="4">
        <v>60200</v>
      </c>
      <c r="L464" s="4">
        <v>37324</v>
      </c>
      <c r="M464" s="4">
        <v>22876</v>
      </c>
      <c r="N464" s="5">
        <v>0.38</v>
      </c>
    </row>
    <row r="465" spans="1:14" x14ac:dyDescent="0.25">
      <c r="A465" t="s">
        <v>519</v>
      </c>
      <c r="B465" s="6">
        <v>45631</v>
      </c>
      <c r="C465" t="s">
        <v>514</v>
      </c>
      <c r="D465" t="s">
        <v>429</v>
      </c>
      <c r="E465" t="s">
        <v>54</v>
      </c>
      <c r="F465" t="s">
        <v>23</v>
      </c>
      <c r="G465" t="s">
        <v>34</v>
      </c>
      <c r="H465" t="s">
        <v>35</v>
      </c>
      <c r="I465">
        <v>2</v>
      </c>
      <c r="J465" s="7">
        <v>3300</v>
      </c>
      <c r="K465" s="7">
        <v>6600</v>
      </c>
      <c r="L465" s="7">
        <v>3168</v>
      </c>
      <c r="M465" s="7">
        <v>3432</v>
      </c>
      <c r="N465" s="8">
        <v>0.52</v>
      </c>
    </row>
    <row r="466" spans="1:14" x14ac:dyDescent="0.25">
      <c r="A466" s="2" t="s">
        <v>520</v>
      </c>
      <c r="B466" s="3">
        <v>45632</v>
      </c>
      <c r="C466" s="2" t="s">
        <v>514</v>
      </c>
      <c r="D466" s="2" t="s">
        <v>429</v>
      </c>
      <c r="E466" s="2" t="s">
        <v>32</v>
      </c>
      <c r="F466" s="2" t="s">
        <v>23</v>
      </c>
      <c r="G466" s="2" t="s">
        <v>29</v>
      </c>
      <c r="H466" s="2" t="s">
        <v>30</v>
      </c>
      <c r="I466" s="2">
        <v>10</v>
      </c>
      <c r="J466" s="4">
        <v>2700</v>
      </c>
      <c r="K466" s="4">
        <v>27000</v>
      </c>
      <c r="L466" s="4">
        <v>12150</v>
      </c>
      <c r="M466" s="4">
        <v>14850</v>
      </c>
      <c r="N466" s="5">
        <v>0.55000000000000004</v>
      </c>
    </row>
    <row r="467" spans="1:14" x14ac:dyDescent="0.25">
      <c r="A467" t="s">
        <v>521</v>
      </c>
      <c r="B467" s="6">
        <v>45633</v>
      </c>
      <c r="C467" t="s">
        <v>514</v>
      </c>
      <c r="D467" t="s">
        <v>429</v>
      </c>
      <c r="E467" t="s">
        <v>17</v>
      </c>
      <c r="F467" t="s">
        <v>18</v>
      </c>
      <c r="G467" t="s">
        <v>19</v>
      </c>
      <c r="H467" t="s">
        <v>20</v>
      </c>
      <c r="I467">
        <v>7</v>
      </c>
      <c r="J467" s="7">
        <v>4600</v>
      </c>
      <c r="K467" s="7">
        <v>32200</v>
      </c>
      <c r="L467" s="7">
        <v>17710</v>
      </c>
      <c r="M467" s="7">
        <v>14490</v>
      </c>
      <c r="N467" s="8">
        <v>0.45</v>
      </c>
    </row>
    <row r="468" spans="1:14" x14ac:dyDescent="0.25">
      <c r="A468" s="2" t="s">
        <v>522</v>
      </c>
      <c r="B468" s="3">
        <v>45634</v>
      </c>
      <c r="C468" s="2" t="s">
        <v>514</v>
      </c>
      <c r="D468" s="2" t="s">
        <v>429</v>
      </c>
      <c r="E468" s="2" t="s">
        <v>22</v>
      </c>
      <c r="F468" s="2" t="s">
        <v>33</v>
      </c>
      <c r="G468" s="2" t="s">
        <v>38</v>
      </c>
      <c r="H468" s="2" t="s">
        <v>39</v>
      </c>
      <c r="I468" s="2">
        <v>4</v>
      </c>
      <c r="J468" s="4">
        <v>12500</v>
      </c>
      <c r="K468" s="4">
        <v>50000</v>
      </c>
      <c r="L468" s="4">
        <v>30000</v>
      </c>
      <c r="M468" s="4">
        <v>20000</v>
      </c>
      <c r="N468" s="5">
        <v>0.4</v>
      </c>
    </row>
    <row r="469" spans="1:14" x14ac:dyDescent="0.25">
      <c r="A469" t="s">
        <v>523</v>
      </c>
      <c r="B469" s="6">
        <v>45634</v>
      </c>
      <c r="C469" t="s">
        <v>514</v>
      </c>
      <c r="D469" t="s">
        <v>429</v>
      </c>
      <c r="E469" t="s">
        <v>22</v>
      </c>
      <c r="F469" t="s">
        <v>18</v>
      </c>
      <c r="G469" t="s">
        <v>24</v>
      </c>
      <c r="H469" t="s">
        <v>25</v>
      </c>
      <c r="I469">
        <v>1</v>
      </c>
      <c r="J469" s="7">
        <v>13800</v>
      </c>
      <c r="K469" s="7">
        <v>13800</v>
      </c>
      <c r="L469" s="7">
        <v>8004</v>
      </c>
      <c r="M469" s="7">
        <v>5796</v>
      </c>
      <c r="N469" s="8">
        <v>0.42</v>
      </c>
    </row>
    <row r="470" spans="1:14" x14ac:dyDescent="0.25">
      <c r="A470" s="2" t="s">
        <v>524</v>
      </c>
      <c r="B470" s="3">
        <v>45634</v>
      </c>
      <c r="C470" s="2" t="s">
        <v>514</v>
      </c>
      <c r="D470" s="2" t="s">
        <v>429</v>
      </c>
      <c r="E470" s="2" t="s">
        <v>32</v>
      </c>
      <c r="F470" s="2" t="s">
        <v>23</v>
      </c>
      <c r="G470" s="2" t="s">
        <v>38</v>
      </c>
      <c r="H470" s="2" t="s">
        <v>39</v>
      </c>
      <c r="I470" s="2">
        <v>6</v>
      </c>
      <c r="J470" s="4">
        <v>12400</v>
      </c>
      <c r="K470" s="4">
        <v>74400</v>
      </c>
      <c r="L470" s="4">
        <v>44640</v>
      </c>
      <c r="M470" s="4">
        <v>29760</v>
      </c>
      <c r="N470" s="5">
        <v>0.4</v>
      </c>
    </row>
    <row r="471" spans="1:14" x14ac:dyDescent="0.25">
      <c r="A471" t="s">
        <v>525</v>
      </c>
      <c r="B471" s="6">
        <v>45635</v>
      </c>
      <c r="C471" t="s">
        <v>514</v>
      </c>
      <c r="D471" t="s">
        <v>429</v>
      </c>
      <c r="E471" t="s">
        <v>37</v>
      </c>
      <c r="F471" t="s">
        <v>28</v>
      </c>
      <c r="G471" t="s">
        <v>29</v>
      </c>
      <c r="H471" t="s">
        <v>30</v>
      </c>
      <c r="I471">
        <v>2</v>
      </c>
      <c r="J471" s="7">
        <v>2500</v>
      </c>
      <c r="K471" s="7">
        <v>5000</v>
      </c>
      <c r="L471" s="7">
        <v>2250</v>
      </c>
      <c r="M471" s="7">
        <v>2750</v>
      </c>
      <c r="N471" s="8">
        <v>0.55000000000000004</v>
      </c>
    </row>
    <row r="472" spans="1:14" x14ac:dyDescent="0.25">
      <c r="A472" s="2" t="s">
        <v>526</v>
      </c>
      <c r="B472" s="3">
        <v>45635</v>
      </c>
      <c r="C472" s="2" t="s">
        <v>514</v>
      </c>
      <c r="D472" s="2" t="s">
        <v>429</v>
      </c>
      <c r="E472" s="2" t="s">
        <v>54</v>
      </c>
      <c r="F472" s="2" t="s">
        <v>28</v>
      </c>
      <c r="G472" s="2" t="s">
        <v>34</v>
      </c>
      <c r="H472" s="2" t="s">
        <v>35</v>
      </c>
      <c r="I472" s="2">
        <v>1</v>
      </c>
      <c r="J472" s="4">
        <v>3600</v>
      </c>
      <c r="K472" s="4">
        <v>3600</v>
      </c>
      <c r="L472" s="4">
        <v>1728</v>
      </c>
      <c r="M472" s="4">
        <v>1872</v>
      </c>
      <c r="N472" s="5">
        <v>0.52</v>
      </c>
    </row>
    <row r="473" spans="1:14" x14ac:dyDescent="0.25">
      <c r="A473" t="s">
        <v>527</v>
      </c>
      <c r="B473" s="6">
        <v>45635</v>
      </c>
      <c r="C473" t="s">
        <v>514</v>
      </c>
      <c r="D473" t="s">
        <v>429</v>
      </c>
      <c r="E473" t="s">
        <v>37</v>
      </c>
      <c r="F473" t="s">
        <v>59</v>
      </c>
      <c r="G473" t="s">
        <v>34</v>
      </c>
      <c r="H473" t="s">
        <v>35</v>
      </c>
      <c r="I473">
        <v>6</v>
      </c>
      <c r="J473" s="7">
        <v>3800</v>
      </c>
      <c r="K473" s="7">
        <v>22800</v>
      </c>
      <c r="L473" s="7">
        <v>10944</v>
      </c>
      <c r="M473" s="7">
        <v>11856</v>
      </c>
      <c r="N473" s="8">
        <v>0.52</v>
      </c>
    </row>
    <row r="474" spans="1:14" x14ac:dyDescent="0.25">
      <c r="A474" s="2" t="s">
        <v>528</v>
      </c>
      <c r="B474" s="3">
        <v>45635</v>
      </c>
      <c r="C474" s="2" t="s">
        <v>514</v>
      </c>
      <c r="D474" s="2" t="s">
        <v>429</v>
      </c>
      <c r="E474" s="2" t="s">
        <v>54</v>
      </c>
      <c r="F474" s="2" t="s">
        <v>18</v>
      </c>
      <c r="G474" s="2" t="s">
        <v>29</v>
      </c>
      <c r="H474" s="2" t="s">
        <v>30</v>
      </c>
      <c r="I474" s="2">
        <v>6</v>
      </c>
      <c r="J474" s="4">
        <v>2500</v>
      </c>
      <c r="K474" s="4">
        <v>15000</v>
      </c>
      <c r="L474" s="4">
        <v>6750</v>
      </c>
      <c r="M474" s="4">
        <v>8250</v>
      </c>
      <c r="N474" s="5">
        <v>0.55000000000000004</v>
      </c>
    </row>
    <row r="475" spans="1:14" x14ac:dyDescent="0.25">
      <c r="A475" t="s">
        <v>529</v>
      </c>
      <c r="B475" s="6">
        <v>45636</v>
      </c>
      <c r="C475" t="s">
        <v>514</v>
      </c>
      <c r="D475" t="s">
        <v>429</v>
      </c>
      <c r="E475" t="s">
        <v>32</v>
      </c>
      <c r="F475" t="s">
        <v>33</v>
      </c>
      <c r="G475" t="s">
        <v>19</v>
      </c>
      <c r="H475" t="s">
        <v>20</v>
      </c>
      <c r="I475">
        <v>6</v>
      </c>
      <c r="J475" s="7">
        <v>5200</v>
      </c>
      <c r="K475" s="7">
        <v>31200</v>
      </c>
      <c r="L475" s="7">
        <v>17160</v>
      </c>
      <c r="M475" s="7">
        <v>14040</v>
      </c>
      <c r="N475" s="8">
        <v>0.45</v>
      </c>
    </row>
    <row r="476" spans="1:14" x14ac:dyDescent="0.25">
      <c r="A476" s="2" t="s">
        <v>530</v>
      </c>
      <c r="B476" s="3">
        <v>45636</v>
      </c>
      <c r="C476" s="2" t="s">
        <v>514</v>
      </c>
      <c r="D476" s="2" t="s">
        <v>429</v>
      </c>
      <c r="E476" s="2" t="s">
        <v>54</v>
      </c>
      <c r="F476" s="2" t="s">
        <v>33</v>
      </c>
      <c r="G476" s="2" t="s">
        <v>38</v>
      </c>
      <c r="H476" s="2" t="s">
        <v>39</v>
      </c>
      <c r="I476" s="2">
        <v>10</v>
      </c>
      <c r="J476" s="4">
        <v>13700</v>
      </c>
      <c r="K476" s="4">
        <v>137000</v>
      </c>
      <c r="L476" s="4">
        <v>82200</v>
      </c>
      <c r="M476" s="4">
        <v>54800</v>
      </c>
      <c r="N476" s="5">
        <v>0.4</v>
      </c>
    </row>
    <row r="477" spans="1:14" x14ac:dyDescent="0.25">
      <c r="A477" t="s">
        <v>531</v>
      </c>
      <c r="B477" s="6">
        <v>45636</v>
      </c>
      <c r="C477" t="s">
        <v>514</v>
      </c>
      <c r="D477" t="s">
        <v>429</v>
      </c>
      <c r="E477" t="s">
        <v>54</v>
      </c>
      <c r="F477" t="s">
        <v>18</v>
      </c>
      <c r="G477" t="s">
        <v>19</v>
      </c>
      <c r="H477" t="s">
        <v>20</v>
      </c>
      <c r="I477">
        <v>7</v>
      </c>
      <c r="J477" s="7">
        <v>5400</v>
      </c>
      <c r="K477" s="7">
        <v>37800</v>
      </c>
      <c r="L477" s="7">
        <v>20790</v>
      </c>
      <c r="M477" s="7">
        <v>17010</v>
      </c>
      <c r="N477" s="8">
        <v>0.45</v>
      </c>
    </row>
    <row r="478" spans="1:14" x14ac:dyDescent="0.25">
      <c r="A478" s="2" t="s">
        <v>532</v>
      </c>
      <c r="B478" s="3">
        <v>45636</v>
      </c>
      <c r="C478" s="2" t="s">
        <v>514</v>
      </c>
      <c r="D478" s="2" t="s">
        <v>429</v>
      </c>
      <c r="E478" s="2" t="s">
        <v>27</v>
      </c>
      <c r="F478" s="2" t="s">
        <v>59</v>
      </c>
      <c r="G478" s="2" t="s">
        <v>34</v>
      </c>
      <c r="H478" s="2" t="s">
        <v>35</v>
      </c>
      <c r="I478" s="2">
        <v>4</v>
      </c>
      <c r="J478" s="4">
        <v>3600</v>
      </c>
      <c r="K478" s="4">
        <v>14400</v>
      </c>
      <c r="L478" s="4">
        <v>6912</v>
      </c>
      <c r="M478" s="4">
        <v>7488</v>
      </c>
      <c r="N478" s="5">
        <v>0.52</v>
      </c>
    </row>
    <row r="479" spans="1:14" x14ac:dyDescent="0.25">
      <c r="A479" t="s">
        <v>533</v>
      </c>
      <c r="B479" s="6">
        <v>45636</v>
      </c>
      <c r="C479" t="s">
        <v>514</v>
      </c>
      <c r="D479" t="s">
        <v>429</v>
      </c>
      <c r="E479" t="s">
        <v>32</v>
      </c>
      <c r="F479" t="s">
        <v>33</v>
      </c>
      <c r="G479" t="s">
        <v>19</v>
      </c>
      <c r="H479" t="s">
        <v>20</v>
      </c>
      <c r="I479">
        <v>10</v>
      </c>
      <c r="J479" s="7">
        <v>5600</v>
      </c>
      <c r="K479" s="7">
        <v>56000</v>
      </c>
      <c r="L479" s="7">
        <v>30800</v>
      </c>
      <c r="M479" s="7">
        <v>25200</v>
      </c>
      <c r="N479" s="8">
        <v>0.45</v>
      </c>
    </row>
    <row r="480" spans="1:14" x14ac:dyDescent="0.25">
      <c r="A480" s="2" t="s">
        <v>534</v>
      </c>
      <c r="B480" s="3">
        <v>45638</v>
      </c>
      <c r="C480" s="2" t="s">
        <v>514</v>
      </c>
      <c r="D480" s="2" t="s">
        <v>429</v>
      </c>
      <c r="E480" s="2" t="s">
        <v>17</v>
      </c>
      <c r="F480" s="2" t="s">
        <v>28</v>
      </c>
      <c r="G480" s="2" t="s">
        <v>63</v>
      </c>
      <c r="H480" s="2" t="s">
        <v>46</v>
      </c>
      <c r="I480" s="2">
        <v>6</v>
      </c>
      <c r="J480" s="4">
        <v>7300</v>
      </c>
      <c r="K480" s="4">
        <v>43800</v>
      </c>
      <c r="L480" s="4">
        <v>27156</v>
      </c>
      <c r="M480" s="4">
        <v>16644</v>
      </c>
      <c r="N480" s="5">
        <v>0.38</v>
      </c>
    </row>
    <row r="481" spans="1:14" x14ac:dyDescent="0.25">
      <c r="A481" t="s">
        <v>535</v>
      </c>
      <c r="B481" s="6">
        <v>45638</v>
      </c>
      <c r="C481" t="s">
        <v>514</v>
      </c>
      <c r="D481" t="s">
        <v>429</v>
      </c>
      <c r="E481" t="s">
        <v>54</v>
      </c>
      <c r="F481" t="s">
        <v>18</v>
      </c>
      <c r="G481" t="s">
        <v>34</v>
      </c>
      <c r="H481" t="s">
        <v>35</v>
      </c>
      <c r="I481">
        <v>9</v>
      </c>
      <c r="J481" s="7">
        <v>4000</v>
      </c>
      <c r="K481" s="7">
        <v>36000</v>
      </c>
      <c r="L481" s="7">
        <v>17280</v>
      </c>
      <c r="M481" s="7">
        <v>18720</v>
      </c>
      <c r="N481" s="8">
        <v>0.52</v>
      </c>
    </row>
    <row r="482" spans="1:14" x14ac:dyDescent="0.25">
      <c r="A482" s="2" t="s">
        <v>536</v>
      </c>
      <c r="B482" s="3">
        <v>45638</v>
      </c>
      <c r="C482" s="2" t="s">
        <v>514</v>
      </c>
      <c r="D482" s="2" t="s">
        <v>429</v>
      </c>
      <c r="E482" s="2" t="s">
        <v>22</v>
      </c>
      <c r="F482" s="2" t="s">
        <v>18</v>
      </c>
      <c r="G482" s="2" t="s">
        <v>34</v>
      </c>
      <c r="H482" s="2" t="s">
        <v>35</v>
      </c>
      <c r="I482" s="2">
        <v>6</v>
      </c>
      <c r="J482" s="4">
        <v>4000</v>
      </c>
      <c r="K482" s="4">
        <v>24000</v>
      </c>
      <c r="L482" s="4">
        <v>11520</v>
      </c>
      <c r="M482" s="4">
        <v>12480</v>
      </c>
      <c r="N482" s="5">
        <v>0.52</v>
      </c>
    </row>
    <row r="483" spans="1:14" x14ac:dyDescent="0.25">
      <c r="A483" t="s">
        <v>537</v>
      </c>
      <c r="B483" s="6">
        <v>45639</v>
      </c>
      <c r="C483" t="s">
        <v>514</v>
      </c>
      <c r="D483" t="s">
        <v>429</v>
      </c>
      <c r="E483" t="s">
        <v>17</v>
      </c>
      <c r="F483" t="s">
        <v>33</v>
      </c>
      <c r="G483" t="s">
        <v>63</v>
      </c>
      <c r="H483" t="s">
        <v>46</v>
      </c>
      <c r="I483">
        <v>3</v>
      </c>
      <c r="J483" s="7">
        <v>9100</v>
      </c>
      <c r="K483" s="7">
        <v>27300</v>
      </c>
      <c r="L483" s="7">
        <v>16926</v>
      </c>
      <c r="M483" s="7">
        <v>10374</v>
      </c>
      <c r="N483" s="8">
        <v>0.38</v>
      </c>
    </row>
    <row r="484" spans="1:14" x14ac:dyDescent="0.25">
      <c r="A484" s="2" t="s">
        <v>538</v>
      </c>
      <c r="B484" s="3">
        <v>45639</v>
      </c>
      <c r="C484" s="2" t="s">
        <v>514</v>
      </c>
      <c r="D484" s="2" t="s">
        <v>429</v>
      </c>
      <c r="E484" s="2" t="s">
        <v>22</v>
      </c>
      <c r="F484" s="2" t="s">
        <v>18</v>
      </c>
      <c r="G484" s="2" t="s">
        <v>45</v>
      </c>
      <c r="H484" s="2" t="s">
        <v>46</v>
      </c>
      <c r="I484" s="2">
        <v>6</v>
      </c>
      <c r="J484" s="4">
        <v>10200</v>
      </c>
      <c r="K484" s="4">
        <v>61200</v>
      </c>
      <c r="L484" s="4">
        <v>36720</v>
      </c>
      <c r="M484" s="4">
        <v>24480</v>
      </c>
      <c r="N484" s="5">
        <v>0.4</v>
      </c>
    </row>
    <row r="485" spans="1:14" x14ac:dyDescent="0.25">
      <c r="A485" t="s">
        <v>539</v>
      </c>
      <c r="B485" s="6">
        <v>45644</v>
      </c>
      <c r="C485" t="s">
        <v>514</v>
      </c>
      <c r="D485" t="s">
        <v>429</v>
      </c>
      <c r="E485" t="s">
        <v>27</v>
      </c>
      <c r="F485" t="s">
        <v>18</v>
      </c>
      <c r="G485" t="s">
        <v>29</v>
      </c>
      <c r="H485" t="s">
        <v>30</v>
      </c>
      <c r="I485">
        <v>1</v>
      </c>
      <c r="J485" s="7">
        <v>2700</v>
      </c>
      <c r="K485" s="7">
        <v>2700</v>
      </c>
      <c r="L485" s="7">
        <v>1215</v>
      </c>
      <c r="M485" s="7">
        <v>1485</v>
      </c>
      <c r="N485" s="8">
        <v>0.55000000000000004</v>
      </c>
    </row>
    <row r="486" spans="1:14" x14ac:dyDescent="0.25">
      <c r="A486" s="2" t="s">
        <v>540</v>
      </c>
      <c r="B486" s="3">
        <v>45644</v>
      </c>
      <c r="C486" s="2" t="s">
        <v>514</v>
      </c>
      <c r="D486" s="2" t="s">
        <v>429</v>
      </c>
      <c r="E486" s="2" t="s">
        <v>37</v>
      </c>
      <c r="F486" s="2" t="s">
        <v>23</v>
      </c>
      <c r="G486" s="2" t="s">
        <v>50</v>
      </c>
      <c r="H486" s="2" t="s">
        <v>46</v>
      </c>
      <c r="I486" s="2">
        <v>5</v>
      </c>
      <c r="J486" s="4">
        <v>26200</v>
      </c>
      <c r="K486" s="4">
        <v>131000</v>
      </c>
      <c r="L486" s="4">
        <v>85150</v>
      </c>
      <c r="M486" s="4">
        <v>45850</v>
      </c>
      <c r="N486" s="5">
        <v>0.35</v>
      </c>
    </row>
    <row r="487" spans="1:14" x14ac:dyDescent="0.25">
      <c r="A487" t="s">
        <v>541</v>
      </c>
      <c r="B487" s="6">
        <v>45645</v>
      </c>
      <c r="C487" t="s">
        <v>514</v>
      </c>
      <c r="D487" t="s">
        <v>429</v>
      </c>
      <c r="E487" t="s">
        <v>37</v>
      </c>
      <c r="F487" t="s">
        <v>23</v>
      </c>
      <c r="G487" t="s">
        <v>29</v>
      </c>
      <c r="H487" t="s">
        <v>30</v>
      </c>
      <c r="I487">
        <v>5</v>
      </c>
      <c r="J487" s="7">
        <v>2300</v>
      </c>
      <c r="K487" s="7">
        <v>11500</v>
      </c>
      <c r="L487" s="7">
        <v>5175</v>
      </c>
      <c r="M487" s="7">
        <v>6325</v>
      </c>
      <c r="N487" s="8">
        <v>0.55000000000000004</v>
      </c>
    </row>
    <row r="488" spans="1:14" x14ac:dyDescent="0.25">
      <c r="A488" s="2" t="s">
        <v>542</v>
      </c>
      <c r="B488" s="3">
        <v>45646</v>
      </c>
      <c r="C488" s="2" t="s">
        <v>514</v>
      </c>
      <c r="D488" s="2" t="s">
        <v>429</v>
      </c>
      <c r="E488" s="2" t="s">
        <v>37</v>
      </c>
      <c r="F488" s="2" t="s">
        <v>23</v>
      </c>
      <c r="G488" s="2" t="s">
        <v>34</v>
      </c>
      <c r="H488" s="2" t="s">
        <v>35</v>
      </c>
      <c r="I488" s="2">
        <v>6</v>
      </c>
      <c r="J488" s="4">
        <v>3700</v>
      </c>
      <c r="K488" s="4">
        <v>22200</v>
      </c>
      <c r="L488" s="4">
        <v>10656</v>
      </c>
      <c r="M488" s="4">
        <v>11544</v>
      </c>
      <c r="N488" s="5">
        <v>0.52</v>
      </c>
    </row>
    <row r="489" spans="1:14" x14ac:dyDescent="0.25">
      <c r="A489" t="s">
        <v>543</v>
      </c>
      <c r="B489" s="6">
        <v>45647</v>
      </c>
      <c r="C489" t="s">
        <v>514</v>
      </c>
      <c r="D489" t="s">
        <v>429</v>
      </c>
      <c r="E489" t="s">
        <v>54</v>
      </c>
      <c r="F489" t="s">
        <v>18</v>
      </c>
      <c r="G489" t="s">
        <v>19</v>
      </c>
      <c r="H489" t="s">
        <v>20</v>
      </c>
      <c r="I489">
        <v>1</v>
      </c>
      <c r="J489" s="7">
        <v>5600</v>
      </c>
      <c r="K489" s="7">
        <v>5600</v>
      </c>
      <c r="L489" s="7">
        <v>3080</v>
      </c>
      <c r="M489" s="7">
        <v>2520</v>
      </c>
      <c r="N489" s="8">
        <v>0.45</v>
      </c>
    </row>
    <row r="490" spans="1:14" x14ac:dyDescent="0.25">
      <c r="A490" s="2" t="s">
        <v>544</v>
      </c>
      <c r="B490" s="3">
        <v>45648</v>
      </c>
      <c r="C490" s="2" t="s">
        <v>514</v>
      </c>
      <c r="D490" s="2" t="s">
        <v>429</v>
      </c>
      <c r="E490" s="2" t="s">
        <v>22</v>
      </c>
      <c r="F490" s="2" t="s">
        <v>59</v>
      </c>
      <c r="G490" s="2" t="s">
        <v>50</v>
      </c>
      <c r="H490" s="2" t="s">
        <v>46</v>
      </c>
      <c r="I490" s="2">
        <v>10</v>
      </c>
      <c r="J490" s="4">
        <v>27900</v>
      </c>
      <c r="K490" s="4">
        <v>279000</v>
      </c>
      <c r="L490" s="4">
        <v>181350</v>
      </c>
      <c r="M490" s="4">
        <v>97650</v>
      </c>
      <c r="N490" s="5">
        <v>0.35</v>
      </c>
    </row>
    <row r="491" spans="1:14" x14ac:dyDescent="0.25">
      <c r="A491" t="s">
        <v>545</v>
      </c>
      <c r="B491" s="6">
        <v>45648</v>
      </c>
      <c r="C491" t="s">
        <v>514</v>
      </c>
      <c r="D491" t="s">
        <v>429</v>
      </c>
      <c r="E491" t="s">
        <v>37</v>
      </c>
      <c r="F491" t="s">
        <v>23</v>
      </c>
      <c r="G491" t="s">
        <v>19</v>
      </c>
      <c r="H491" t="s">
        <v>20</v>
      </c>
      <c r="I491">
        <v>10</v>
      </c>
      <c r="J491" s="7">
        <v>4700</v>
      </c>
      <c r="K491" s="7">
        <v>47000</v>
      </c>
      <c r="L491" s="7">
        <v>25850</v>
      </c>
      <c r="M491" s="7">
        <v>21150</v>
      </c>
      <c r="N491" s="8">
        <v>0.45</v>
      </c>
    </row>
    <row r="492" spans="1:14" x14ac:dyDescent="0.25">
      <c r="A492" s="2" t="s">
        <v>546</v>
      </c>
      <c r="B492" s="3">
        <v>45650</v>
      </c>
      <c r="C492" s="2" t="s">
        <v>514</v>
      </c>
      <c r="D492" s="2" t="s">
        <v>429</v>
      </c>
      <c r="E492" s="2" t="s">
        <v>17</v>
      </c>
      <c r="F492" s="2" t="s">
        <v>59</v>
      </c>
      <c r="G492" s="2" t="s">
        <v>34</v>
      </c>
      <c r="H492" s="2" t="s">
        <v>35</v>
      </c>
      <c r="I492" s="2">
        <v>9</v>
      </c>
      <c r="J492" s="4">
        <v>4000</v>
      </c>
      <c r="K492" s="4">
        <v>36000</v>
      </c>
      <c r="L492" s="4">
        <v>17280</v>
      </c>
      <c r="M492" s="4">
        <v>18720</v>
      </c>
      <c r="N492" s="5">
        <v>0.52</v>
      </c>
    </row>
    <row r="493" spans="1:14" x14ac:dyDescent="0.25">
      <c r="A493" t="s">
        <v>547</v>
      </c>
      <c r="B493" s="6">
        <v>45650</v>
      </c>
      <c r="C493" t="s">
        <v>514</v>
      </c>
      <c r="D493" t="s">
        <v>429</v>
      </c>
      <c r="E493" t="s">
        <v>54</v>
      </c>
      <c r="F493" t="s">
        <v>59</v>
      </c>
      <c r="G493" t="s">
        <v>38</v>
      </c>
      <c r="H493" t="s">
        <v>39</v>
      </c>
      <c r="I493">
        <v>8</v>
      </c>
      <c r="J493" s="7">
        <v>11400</v>
      </c>
      <c r="K493" s="7">
        <v>91200</v>
      </c>
      <c r="L493" s="7">
        <v>54720</v>
      </c>
      <c r="M493" s="7">
        <v>36480</v>
      </c>
      <c r="N493" s="8">
        <v>0.4</v>
      </c>
    </row>
    <row r="494" spans="1:14" x14ac:dyDescent="0.25">
      <c r="A494" s="2" t="s">
        <v>548</v>
      </c>
      <c r="B494" s="3">
        <v>45652</v>
      </c>
      <c r="C494" s="2" t="s">
        <v>514</v>
      </c>
      <c r="D494" s="2" t="s">
        <v>429</v>
      </c>
      <c r="E494" s="2" t="s">
        <v>54</v>
      </c>
      <c r="F494" s="2" t="s">
        <v>33</v>
      </c>
      <c r="G494" s="2" t="s">
        <v>45</v>
      </c>
      <c r="H494" s="2" t="s">
        <v>46</v>
      </c>
      <c r="I494" s="2">
        <v>10</v>
      </c>
      <c r="J494" s="4">
        <v>8600</v>
      </c>
      <c r="K494" s="4">
        <v>86000</v>
      </c>
      <c r="L494" s="4">
        <v>51600</v>
      </c>
      <c r="M494" s="4">
        <v>34400</v>
      </c>
      <c r="N494" s="5">
        <v>0.4</v>
      </c>
    </row>
    <row r="495" spans="1:14" x14ac:dyDescent="0.25">
      <c r="A495" t="s">
        <v>549</v>
      </c>
      <c r="B495" s="6">
        <v>45652</v>
      </c>
      <c r="C495" t="s">
        <v>514</v>
      </c>
      <c r="D495" t="s">
        <v>429</v>
      </c>
      <c r="E495" t="s">
        <v>27</v>
      </c>
      <c r="F495" t="s">
        <v>28</v>
      </c>
      <c r="G495" t="s">
        <v>38</v>
      </c>
      <c r="H495" t="s">
        <v>39</v>
      </c>
      <c r="I495">
        <v>9</v>
      </c>
      <c r="J495" s="7">
        <v>12500</v>
      </c>
      <c r="K495" s="7">
        <v>112500</v>
      </c>
      <c r="L495" s="7">
        <v>67500</v>
      </c>
      <c r="M495" s="7">
        <v>45000</v>
      </c>
      <c r="N495" s="8">
        <v>0.4</v>
      </c>
    </row>
    <row r="496" spans="1:14" x14ac:dyDescent="0.25">
      <c r="A496" s="2" t="s">
        <v>550</v>
      </c>
      <c r="B496" s="3">
        <v>45653</v>
      </c>
      <c r="C496" s="2" t="s">
        <v>514</v>
      </c>
      <c r="D496" s="2" t="s">
        <v>429</v>
      </c>
      <c r="E496" s="2" t="s">
        <v>54</v>
      </c>
      <c r="F496" s="2" t="s">
        <v>23</v>
      </c>
      <c r="G496" s="2" t="s">
        <v>29</v>
      </c>
      <c r="H496" s="2" t="s">
        <v>30</v>
      </c>
      <c r="I496" s="2">
        <v>7</v>
      </c>
      <c r="J496" s="4">
        <v>2300</v>
      </c>
      <c r="K496" s="4">
        <v>16100</v>
      </c>
      <c r="L496" s="4">
        <v>7245</v>
      </c>
      <c r="M496" s="4">
        <v>8855</v>
      </c>
      <c r="N496" s="5">
        <v>0.55000000000000004</v>
      </c>
    </row>
    <row r="497" spans="1:14" x14ac:dyDescent="0.25">
      <c r="A497" t="s">
        <v>551</v>
      </c>
      <c r="B497" s="6">
        <v>45654</v>
      </c>
      <c r="C497" t="s">
        <v>514</v>
      </c>
      <c r="D497" t="s">
        <v>429</v>
      </c>
      <c r="E497" t="s">
        <v>54</v>
      </c>
      <c r="F497" t="s">
        <v>28</v>
      </c>
      <c r="G497" t="s">
        <v>19</v>
      </c>
      <c r="H497" t="s">
        <v>20</v>
      </c>
      <c r="I497">
        <v>1</v>
      </c>
      <c r="J497" s="7">
        <v>5100</v>
      </c>
      <c r="K497" s="7">
        <v>5100</v>
      </c>
      <c r="L497" s="7">
        <v>2805</v>
      </c>
      <c r="M497" s="7">
        <v>2295</v>
      </c>
      <c r="N497" s="8">
        <v>0.45</v>
      </c>
    </row>
    <row r="498" spans="1:14" x14ac:dyDescent="0.25">
      <c r="A498" s="2" t="s">
        <v>552</v>
      </c>
      <c r="B498" s="3">
        <v>45655</v>
      </c>
      <c r="C498" s="2" t="s">
        <v>514</v>
      </c>
      <c r="D498" s="2" t="s">
        <v>429</v>
      </c>
      <c r="E498" s="2" t="s">
        <v>54</v>
      </c>
      <c r="F498" s="2" t="s">
        <v>42</v>
      </c>
      <c r="G498" s="2" t="s">
        <v>38</v>
      </c>
      <c r="H498" s="2" t="s">
        <v>39</v>
      </c>
      <c r="I498" s="2">
        <v>5</v>
      </c>
      <c r="J498" s="4">
        <v>12400</v>
      </c>
      <c r="K498" s="4">
        <v>62000</v>
      </c>
      <c r="L498" s="4">
        <v>37200</v>
      </c>
      <c r="M498" s="4">
        <v>24800</v>
      </c>
      <c r="N498" s="5">
        <v>0.4</v>
      </c>
    </row>
    <row r="499" spans="1:14" x14ac:dyDescent="0.25">
      <c r="A499" t="s">
        <v>553</v>
      </c>
      <c r="B499" s="6">
        <v>45656</v>
      </c>
      <c r="C499" t="s">
        <v>514</v>
      </c>
      <c r="D499" t="s">
        <v>429</v>
      </c>
      <c r="E499" t="s">
        <v>27</v>
      </c>
      <c r="F499" t="s">
        <v>18</v>
      </c>
      <c r="G499" t="s">
        <v>63</v>
      </c>
      <c r="H499" t="s">
        <v>46</v>
      </c>
      <c r="I499">
        <v>9</v>
      </c>
      <c r="J499" s="7">
        <v>8800</v>
      </c>
      <c r="K499" s="7">
        <v>79200</v>
      </c>
      <c r="L499" s="7">
        <v>49104</v>
      </c>
      <c r="M499" s="7">
        <v>30096</v>
      </c>
      <c r="N499" s="8">
        <v>0.38</v>
      </c>
    </row>
    <row r="500" spans="1:14" x14ac:dyDescent="0.25">
      <c r="A500" s="2" t="s">
        <v>554</v>
      </c>
      <c r="B500" s="3">
        <v>45657</v>
      </c>
      <c r="C500" s="2" t="s">
        <v>514</v>
      </c>
      <c r="D500" s="2" t="s">
        <v>429</v>
      </c>
      <c r="E500" s="2" t="s">
        <v>54</v>
      </c>
      <c r="F500" s="2" t="s">
        <v>23</v>
      </c>
      <c r="G500" s="2" t="s">
        <v>19</v>
      </c>
      <c r="H500" s="2" t="s">
        <v>20</v>
      </c>
      <c r="I500" s="2">
        <v>6</v>
      </c>
      <c r="J500" s="4">
        <v>4800</v>
      </c>
      <c r="K500" s="4">
        <v>28800</v>
      </c>
      <c r="L500" s="4">
        <v>15840</v>
      </c>
      <c r="M500" s="4">
        <v>12960</v>
      </c>
      <c r="N500" s="5">
        <v>0.45</v>
      </c>
    </row>
    <row r="501" spans="1:14" x14ac:dyDescent="0.25">
      <c r="A501" t="s">
        <v>555</v>
      </c>
      <c r="B501" s="6">
        <v>45657</v>
      </c>
      <c r="C501" t="s">
        <v>514</v>
      </c>
      <c r="D501" t="s">
        <v>429</v>
      </c>
      <c r="E501" t="s">
        <v>37</v>
      </c>
      <c r="F501" t="s">
        <v>28</v>
      </c>
      <c r="G501" t="s">
        <v>45</v>
      </c>
      <c r="H501" t="s">
        <v>46</v>
      </c>
      <c r="I501">
        <v>6</v>
      </c>
      <c r="J501" s="7">
        <v>10300</v>
      </c>
      <c r="K501" s="7">
        <v>61800</v>
      </c>
      <c r="L501" s="7">
        <v>37080</v>
      </c>
      <c r="M501" s="7">
        <v>24720</v>
      </c>
      <c r="N501" s="8">
        <v>0.4</v>
      </c>
    </row>
  </sheetData>
  <autoFilter ref="A1:N50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2A73-EE38-4B3E-BB68-53875F93F9F3}">
  <dimension ref="A2:H31"/>
  <sheetViews>
    <sheetView zoomScale="85" zoomScaleNormal="85" workbookViewId="0">
      <selection activeCell="H2" sqref="H2:H3"/>
    </sheetView>
  </sheetViews>
  <sheetFormatPr defaultColWidth="25.42578125" defaultRowHeight="15" x14ac:dyDescent="0.25"/>
  <cols>
    <col min="1" max="1" width="13.28515625" bestFit="1" customWidth="1"/>
    <col min="2" max="2" width="22.85546875" bestFit="1" customWidth="1"/>
    <col min="3" max="3" width="18.28515625" bestFit="1" customWidth="1"/>
    <col min="4" max="4" width="13.28515625" bestFit="1" customWidth="1"/>
    <col min="5" max="5" width="22.85546875" bestFit="1" customWidth="1"/>
  </cols>
  <sheetData>
    <row r="2" spans="1:8" ht="15.75" x14ac:dyDescent="0.25">
      <c r="H2" s="15" t="s">
        <v>561</v>
      </c>
    </row>
    <row r="3" spans="1:8" x14ac:dyDescent="0.25">
      <c r="A3" s="9" t="s">
        <v>556</v>
      </c>
      <c r="B3" t="s">
        <v>558</v>
      </c>
      <c r="C3" t="s">
        <v>559</v>
      </c>
      <c r="H3" s="14">
        <f>C16/B16</f>
        <v>0.40279662139188632</v>
      </c>
    </row>
    <row r="4" spans="1:8" x14ac:dyDescent="0.25">
      <c r="A4" s="10" t="s">
        <v>15</v>
      </c>
      <c r="B4" s="7">
        <v>1787700</v>
      </c>
      <c r="C4" s="7">
        <v>720665</v>
      </c>
    </row>
    <row r="5" spans="1:8" x14ac:dyDescent="0.25">
      <c r="A5" s="10" t="s">
        <v>73</v>
      </c>
      <c r="B5" s="7">
        <v>2561700</v>
      </c>
      <c r="C5" s="7">
        <v>1009558</v>
      </c>
    </row>
    <row r="6" spans="1:8" x14ac:dyDescent="0.25">
      <c r="A6" s="10" t="s">
        <v>116</v>
      </c>
      <c r="B6" s="7">
        <v>2598700</v>
      </c>
      <c r="C6" s="7">
        <v>1035953</v>
      </c>
    </row>
    <row r="7" spans="1:8" x14ac:dyDescent="0.25">
      <c r="A7" s="10" t="s">
        <v>162</v>
      </c>
      <c r="B7" s="7">
        <v>1735000</v>
      </c>
      <c r="C7" s="7">
        <v>709417</v>
      </c>
    </row>
    <row r="8" spans="1:8" x14ac:dyDescent="0.25">
      <c r="A8" s="10" t="s">
        <v>198</v>
      </c>
      <c r="B8" s="7">
        <v>2435900</v>
      </c>
      <c r="C8" s="7">
        <v>1006872</v>
      </c>
    </row>
    <row r="9" spans="1:8" x14ac:dyDescent="0.25">
      <c r="A9" s="10" t="s">
        <v>246</v>
      </c>
      <c r="B9" s="7">
        <v>1444400</v>
      </c>
      <c r="C9" s="7">
        <v>610450</v>
      </c>
    </row>
    <row r="10" spans="1:8" x14ac:dyDescent="0.25">
      <c r="A10" s="10" t="s">
        <v>286</v>
      </c>
      <c r="B10" s="7">
        <v>2464400</v>
      </c>
      <c r="C10" s="7">
        <v>993756</v>
      </c>
    </row>
    <row r="11" spans="1:8" x14ac:dyDescent="0.25">
      <c r="A11" s="10" t="s">
        <v>331</v>
      </c>
      <c r="B11" s="7">
        <v>3473400</v>
      </c>
      <c r="C11" s="7">
        <v>1363296</v>
      </c>
    </row>
    <row r="12" spans="1:8" x14ac:dyDescent="0.25">
      <c r="A12" s="10" t="s">
        <v>386</v>
      </c>
      <c r="B12" s="7">
        <v>2709700</v>
      </c>
      <c r="C12" s="7">
        <v>1086199</v>
      </c>
    </row>
    <row r="13" spans="1:8" x14ac:dyDescent="0.25">
      <c r="A13" s="10" t="s">
        <v>428</v>
      </c>
      <c r="B13" s="7">
        <v>2495400</v>
      </c>
      <c r="C13" s="7">
        <v>1006184</v>
      </c>
    </row>
    <row r="14" spans="1:8" x14ac:dyDescent="0.25">
      <c r="A14" s="10" t="s">
        <v>474</v>
      </c>
      <c r="B14" s="7">
        <v>2164900</v>
      </c>
      <c r="C14" s="7">
        <v>867676</v>
      </c>
    </row>
    <row r="15" spans="1:8" x14ac:dyDescent="0.25">
      <c r="A15" s="10" t="s">
        <v>514</v>
      </c>
      <c r="B15" s="7">
        <v>2069300</v>
      </c>
      <c r="C15" s="7">
        <v>844313</v>
      </c>
    </row>
    <row r="16" spans="1:8" x14ac:dyDescent="0.25">
      <c r="A16" s="10" t="s">
        <v>557</v>
      </c>
      <c r="B16" s="7">
        <v>27940500</v>
      </c>
      <c r="C16" s="7">
        <v>11254339</v>
      </c>
    </row>
    <row r="22" spans="1:5" x14ac:dyDescent="0.25">
      <c r="A22" s="9" t="s">
        <v>556</v>
      </c>
      <c r="B22" t="s">
        <v>558</v>
      </c>
      <c r="D22" s="9" t="s">
        <v>556</v>
      </c>
      <c r="E22" t="s">
        <v>558</v>
      </c>
    </row>
    <row r="23" spans="1:5" x14ac:dyDescent="0.25">
      <c r="A23" s="10" t="s">
        <v>42</v>
      </c>
      <c r="B23" s="7">
        <v>2903200</v>
      </c>
      <c r="D23" s="10" t="s">
        <v>50</v>
      </c>
      <c r="E23" s="7">
        <v>7966700</v>
      </c>
    </row>
    <row r="24" spans="1:5" x14ac:dyDescent="0.25">
      <c r="A24" s="10" t="s">
        <v>59</v>
      </c>
      <c r="B24" s="7">
        <v>5526400</v>
      </c>
      <c r="D24" s="10" t="s">
        <v>24</v>
      </c>
      <c r="E24" s="7">
        <v>5402300</v>
      </c>
    </row>
    <row r="25" spans="1:5" x14ac:dyDescent="0.25">
      <c r="A25" s="10" t="s">
        <v>18</v>
      </c>
      <c r="B25" s="7">
        <v>4144600</v>
      </c>
      <c r="D25" s="10" t="s">
        <v>38</v>
      </c>
      <c r="E25" s="7">
        <v>4500300</v>
      </c>
    </row>
    <row r="26" spans="1:5" x14ac:dyDescent="0.25">
      <c r="A26" s="10" t="s">
        <v>28</v>
      </c>
      <c r="B26" s="7">
        <v>4589600</v>
      </c>
      <c r="D26" s="10" t="s">
        <v>45</v>
      </c>
      <c r="E26" s="7">
        <v>2939600</v>
      </c>
    </row>
    <row r="27" spans="1:5" x14ac:dyDescent="0.25">
      <c r="A27" s="10" t="s">
        <v>23</v>
      </c>
      <c r="B27" s="7">
        <v>5872700</v>
      </c>
      <c r="D27" s="10" t="s">
        <v>63</v>
      </c>
      <c r="E27" s="7">
        <v>2902000</v>
      </c>
    </row>
    <row r="28" spans="1:5" x14ac:dyDescent="0.25">
      <c r="A28" s="10" t="s">
        <v>33</v>
      </c>
      <c r="B28" s="7">
        <v>4904000</v>
      </c>
      <c r="D28" s="10" t="s">
        <v>19</v>
      </c>
      <c r="E28" s="7">
        <v>1601400</v>
      </c>
    </row>
    <row r="29" spans="1:5" x14ac:dyDescent="0.25">
      <c r="A29" s="10" t="s">
        <v>557</v>
      </c>
      <c r="B29" s="7">
        <v>27940500</v>
      </c>
      <c r="D29" s="10" t="s">
        <v>34</v>
      </c>
      <c r="E29" s="7">
        <v>1594400</v>
      </c>
    </row>
    <row r="30" spans="1:5" x14ac:dyDescent="0.25">
      <c r="D30" s="10" t="s">
        <v>29</v>
      </c>
      <c r="E30" s="7">
        <v>1033800</v>
      </c>
    </row>
    <row r="31" spans="1:5" x14ac:dyDescent="0.25">
      <c r="D31" s="10" t="s">
        <v>557</v>
      </c>
      <c r="E31" s="7">
        <v>27940500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80CB-5CF7-43AC-AB53-F2CB28C67C90}">
  <dimension ref="B2:R7"/>
  <sheetViews>
    <sheetView showGridLines="0" tabSelected="1" zoomScale="55" zoomScaleNormal="55" workbookViewId="0">
      <selection activeCell="X32" sqref="X32"/>
    </sheetView>
  </sheetViews>
  <sheetFormatPr defaultRowHeight="15" x14ac:dyDescent="0.25"/>
  <cols>
    <col min="1" max="16384" width="9.140625" style="11"/>
  </cols>
  <sheetData>
    <row r="2" spans="2:18" ht="26.25" x14ac:dyDescent="0.4">
      <c r="B2" s="12" t="s">
        <v>560</v>
      </c>
      <c r="C2" s="12"/>
      <c r="D2" s="12"/>
      <c r="E2" s="12"/>
      <c r="F2" s="12"/>
      <c r="G2" s="12"/>
      <c r="H2" s="12"/>
      <c r="I2" s="12"/>
      <c r="J2" s="12"/>
      <c r="K2" s="12"/>
      <c r="L2" s="12"/>
      <c r="M2" s="12"/>
      <c r="N2" s="12"/>
      <c r="O2" s="12"/>
      <c r="P2" s="12"/>
      <c r="Q2" s="12"/>
      <c r="R2" s="12"/>
    </row>
    <row r="4" spans="2:18" x14ac:dyDescent="0.25">
      <c r="B4" s="13"/>
      <c r="C4" s="13"/>
      <c r="D4" s="13"/>
      <c r="E4" s="13"/>
    </row>
    <row r="5" spans="2:18" x14ac:dyDescent="0.25">
      <c r="B5" s="13"/>
      <c r="C5" s="13"/>
      <c r="D5" s="13"/>
      <c r="E5" s="13"/>
    </row>
    <row r="6" spans="2:18" x14ac:dyDescent="0.25">
      <c r="B6" s="13"/>
      <c r="C6" s="13"/>
      <c r="D6" s="13"/>
      <c r="E6" s="13"/>
    </row>
    <row r="7" spans="2:18" x14ac:dyDescent="0.25">
      <c r="B7" s="13"/>
      <c r="C7" s="13"/>
      <c r="D7" s="13"/>
      <c r="E7" s="13"/>
    </row>
  </sheetData>
  <mergeCells count="2">
    <mergeCell ref="B2:R2"/>
    <mergeCell ref="B4:E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mohamedahmed</cp:lastModifiedBy>
  <cp:revision>0</cp:revision>
  <dcterms:created xsi:type="dcterms:W3CDTF">2026-03-29T20:45:33Z</dcterms:created>
  <dcterms:modified xsi:type="dcterms:W3CDTF">2026-03-29T22:16:19Z</dcterms:modified>
  <dc:language>en-US</dc:language>
</cp:coreProperties>
</file>